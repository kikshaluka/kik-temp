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70" yWindow="630" windowWidth="20115" windowHeight="7245" activeTab="1"/>
  </bookViews>
  <sheets>
    <sheet name="Main" sheetId="1" r:id="rId1"/>
    <sheet name="calc" sheetId="2" r:id="rId2"/>
    <sheet name="data" sheetId="3" r:id="rId3"/>
  </sheets>
  <definedNames>
    <definedName name="_xlnm._FilterDatabase" localSheetId="2" hidden="1">data!$M$2:$O$15</definedName>
    <definedName name="ABB">calc!$E$14:$E$19</definedName>
    <definedName name="ABB_ACB">calc!$B$23:$B$25</definedName>
    <definedName name="ABB_MCCB">calc!$A$23:$A$24</definedName>
    <definedName name="ABB_VSD">calc!$C$23:$C$24</definedName>
    <definedName name="Air_Conditioning">calc!$C$4:$C$6</definedName>
    <definedName name="_xlnm.Extract" localSheetId="1">calc!$AG$2:$AI$2</definedName>
    <definedName name="Fan_Select">Main!$A$37:$A$38</definedName>
    <definedName name="Fans">calc!$AH$3:$AH$15</definedName>
    <definedName name="Forced_Ventilation">calc!$B$4:$B$6</definedName>
    <definedName name="Free_Standing_Cubicle">calc!$B$9:$B$12</definedName>
    <definedName name="Free_Standing_Panel">calc!$A$9:$A$10</definedName>
    <definedName name="Lovato">calc!$F$14:$F$15</definedName>
    <definedName name="Models">calc!$AC$3:$AC$4</definedName>
    <definedName name="Natural_Ventilation">calc!$A$4:$A$5</definedName>
    <definedName name="Schaffner">calc!$G$14:$G$15</definedName>
    <definedName name="SG_Select">Main!$B$33:$D$34</definedName>
    <definedName name="Wall_Mounted">calc!$C$9:$C$10</definedName>
  </definedNames>
  <calcPr calcId="145621" iterateDelta="1E-4"/>
</workbook>
</file>

<file path=xl/calcChain.xml><?xml version="1.0" encoding="utf-8"?>
<calcChain xmlns="http://schemas.openxmlformats.org/spreadsheetml/2006/main">
  <c r="L12" i="2" l="1" a="1"/>
  <c r="L12" i="2" s="1"/>
  <c r="O2" i="2" s="1"/>
  <c r="N11" i="2"/>
  <c r="N8" i="2" l="1"/>
  <c r="N7" i="2"/>
  <c r="AB21" i="2"/>
  <c r="N4" i="2"/>
  <c r="K19" i="2"/>
  <c r="AB20" i="2"/>
  <c r="AB19" i="2" l="1"/>
  <c r="E11" i="1"/>
  <c r="N2" i="2"/>
  <c r="R6" i="2" l="1"/>
  <c r="R7" i="2" s="1"/>
  <c r="P4" i="2"/>
  <c r="P7" i="2"/>
  <c r="L25" i="2" a="1"/>
  <c r="O3" i="2"/>
  <c r="N46" i="2"/>
  <c r="N3" i="2"/>
  <c r="O46" i="2" l="1"/>
  <c r="H11" i="1" l="1"/>
  <c r="H3" i="1"/>
  <c r="H9" i="1" l="1"/>
  <c r="H10" i="1"/>
  <c r="D16" i="1" l="1"/>
  <c r="M46" i="2"/>
  <c r="M47" i="2"/>
  <c r="O47" i="2" s="1"/>
  <c r="M48" i="2"/>
  <c r="O48" i="2" s="1"/>
  <c r="M49" i="2"/>
  <c r="O49" i="2" s="1"/>
  <c r="N49" i="2"/>
  <c r="M50" i="2"/>
  <c r="O50" i="2" s="1"/>
  <c r="N50" i="2"/>
  <c r="F19" i="1"/>
  <c r="D19" i="1"/>
  <c r="D18" i="1"/>
  <c r="F17" i="1"/>
  <c r="F16" i="1"/>
  <c r="F18" i="1"/>
  <c r="D17" i="1"/>
  <c r="C38" i="1"/>
  <c r="A7" i="1"/>
  <c r="M37" i="2"/>
  <c r="M36" i="2"/>
  <c r="O36" i="2" s="1"/>
  <c r="P49" i="2" l="1"/>
  <c r="P50" i="2"/>
  <c r="K1" i="2" l="1"/>
  <c r="H34" i="1"/>
  <c r="G32" i="1"/>
  <c r="H26" i="1" l="1"/>
  <c r="H30" i="1"/>
  <c r="L3" i="1"/>
  <c r="E10" i="1" l="1"/>
  <c r="M6" i="2" s="1"/>
  <c r="P46" i="2" l="1"/>
  <c r="N48" i="2"/>
  <c r="P48" i="2" s="1"/>
  <c r="N47" i="2"/>
  <c r="P47" i="2" s="1"/>
  <c r="K32" i="2"/>
  <c r="P51" i="2" l="1"/>
  <c r="H5" i="1" s="1"/>
  <c r="T7" i="2"/>
  <c r="K25" i="2" l="1"/>
  <c r="L25" i="2" s="1"/>
  <c r="O4" i="2" s="1"/>
  <c r="S7" i="2" l="1"/>
  <c r="K12" i="2"/>
  <c r="P2" i="2"/>
  <c r="P40" i="2" s="1"/>
  <c r="P41" i="2" s="1"/>
  <c r="N40" i="2" l="1"/>
  <c r="N41" i="2" s="1"/>
  <c r="P8" i="2"/>
  <c r="T8" i="2"/>
  <c r="R8" i="2"/>
  <c r="O7" i="2" l="1"/>
  <c r="O8" i="2" s="1"/>
  <c r="O40" i="2"/>
  <c r="O41" i="2" s="1"/>
  <c r="S8" i="2"/>
  <c r="E13" i="1"/>
  <c r="E16" i="1" s="1"/>
  <c r="M35" i="2"/>
  <c r="E12" i="1"/>
  <c r="M38" i="2" l="1"/>
  <c r="E17" i="1" s="1"/>
  <c r="E18" i="1" s="1"/>
  <c r="O37" i="2" s="1"/>
  <c r="O38" i="2" s="1"/>
  <c r="E19" i="1" s="1"/>
  <c r="O35" i="2"/>
</calcChain>
</file>

<file path=xl/sharedStrings.xml><?xml version="1.0" encoding="utf-8"?>
<sst xmlns="http://schemas.openxmlformats.org/spreadsheetml/2006/main" count="384" uniqueCount="180">
  <si>
    <t>Cooling System</t>
  </si>
  <si>
    <t>Calculation Method</t>
  </si>
  <si>
    <t>Calc Method</t>
  </si>
  <si>
    <t>Temperature Rise</t>
  </si>
  <si>
    <t>Power Loss</t>
  </si>
  <si>
    <t>Fan Capacity</t>
  </si>
  <si>
    <t>Cooling Capacity</t>
  </si>
  <si>
    <t>Natural_Ventilation</t>
  </si>
  <si>
    <t>Forced_Ventilation</t>
  </si>
  <si>
    <t>Air_Conditioning</t>
  </si>
  <si>
    <t>Location (MASL)</t>
  </si>
  <si>
    <t>Enclosure Type</t>
  </si>
  <si>
    <t>Seperated</t>
  </si>
  <si>
    <t>Position</t>
  </si>
  <si>
    <t>Wall_Mounted</t>
  </si>
  <si>
    <t>Free_Standing_Panel</t>
  </si>
  <si>
    <t>Free_Standing_Cubicle</t>
  </si>
  <si>
    <t>First/Last Seperated</t>
  </si>
  <si>
    <t>Surface Mounted</t>
  </si>
  <si>
    <t>First/Last Wall Attached</t>
  </si>
  <si>
    <t>Central Seperated</t>
  </si>
  <si>
    <t>Central Wall Attached</t>
  </si>
  <si>
    <t>Flush Mounted</t>
  </si>
  <si>
    <t>Dimensions</t>
  </si>
  <si>
    <t xml:space="preserve">Height </t>
  </si>
  <si>
    <t>Width</t>
  </si>
  <si>
    <t>Depth</t>
  </si>
  <si>
    <t>Horizontal Seperations</t>
  </si>
  <si>
    <t>Wall Attached</t>
  </si>
  <si>
    <t>Top</t>
  </si>
  <si>
    <t>Front</t>
  </si>
  <si>
    <t>Back</t>
  </si>
  <si>
    <t>Exposed</t>
  </si>
  <si>
    <t>Covered</t>
  </si>
  <si>
    <t>Side1</t>
  </si>
  <si>
    <t>Side2</t>
  </si>
  <si>
    <t>Top Surface</t>
  </si>
  <si>
    <t>Front Surface</t>
  </si>
  <si>
    <t>Back Surface</t>
  </si>
  <si>
    <t>Side Surface 1</t>
  </si>
  <si>
    <t>Side Surface 2</t>
  </si>
  <si>
    <t>Status</t>
  </si>
  <si>
    <t>A0</t>
  </si>
  <si>
    <t>b</t>
  </si>
  <si>
    <t>A0xb</t>
  </si>
  <si>
    <t>mm</t>
  </si>
  <si>
    <t>Width Factor</t>
  </si>
  <si>
    <t>Ambient Temp.</t>
  </si>
  <si>
    <t>Runs</t>
  </si>
  <si>
    <t>Width (mm)</t>
  </si>
  <si>
    <t>Thick. (mm)</t>
  </si>
  <si>
    <t>Busbars</t>
  </si>
  <si>
    <t>Type</t>
  </si>
  <si>
    <t>Power Cables</t>
  </si>
  <si>
    <t xml:space="preserve">Power Loss Calculation </t>
  </si>
  <si>
    <t>Model</t>
  </si>
  <si>
    <t>Qty</t>
  </si>
  <si>
    <t>Range</t>
  </si>
  <si>
    <t>Current (A)</t>
  </si>
  <si>
    <t>Rating (A)</t>
  </si>
  <si>
    <t>Demand Fac.</t>
  </si>
  <si>
    <t>Length (m)</t>
  </si>
  <si>
    <r>
      <t>m</t>
    </r>
    <r>
      <rPr>
        <sz val="11"/>
        <color theme="1"/>
        <rFont val="Calibri"/>
        <family val="2"/>
      </rPr>
      <t>Ω.mm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/m</t>
    </r>
  </si>
  <si>
    <r>
      <t xml:space="preserve">Resistance of Cu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</si>
  <si>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Al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</si>
  <si>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Description</t>
  </si>
  <si>
    <t>Material</t>
  </si>
  <si>
    <t>Switchgears</t>
  </si>
  <si>
    <r>
      <t>Size(mm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</si>
  <si>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PVC</t>
  </si>
  <si>
    <r>
      <t xml:space="preserve">Resistance of Al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</si>
  <si>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Cu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</si>
  <si>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Power Loss (W)</t>
  </si>
  <si>
    <t>MCCB</t>
  </si>
  <si>
    <t>ACB</t>
  </si>
  <si>
    <t>VSD</t>
  </si>
  <si>
    <t>AHF</t>
  </si>
  <si>
    <t>Manufacturer</t>
  </si>
  <si>
    <t>ABB</t>
  </si>
  <si>
    <t>Lovato</t>
  </si>
  <si>
    <t>Schaffner</t>
  </si>
  <si>
    <t>Contactor</t>
  </si>
  <si>
    <t>PHF</t>
  </si>
  <si>
    <t>Soft_Starter</t>
  </si>
  <si>
    <t>Cap_Contactor</t>
  </si>
  <si>
    <t xml:space="preserve">ABB </t>
  </si>
  <si>
    <t xml:space="preserve">Model </t>
  </si>
  <si>
    <t>XT1B 160 TMD 16-450 3p F F</t>
  </si>
  <si>
    <t>Rated_I</t>
  </si>
  <si>
    <t>XT1</t>
  </si>
  <si>
    <t>XT1C 160 TMD 63-630 3p F F</t>
  </si>
  <si>
    <t>XT2</t>
  </si>
  <si>
    <t>XT2L 160 TMA 160-1600 3p F F</t>
  </si>
  <si>
    <t>ABB_MCCB</t>
  </si>
  <si>
    <t>ABB_ACB</t>
  </si>
  <si>
    <t>ABB_VSD</t>
  </si>
  <si>
    <t>ABB_Soft_Starter</t>
  </si>
  <si>
    <t>ABB_Contactor</t>
  </si>
  <si>
    <t>E1.2N 800 Ekip Dip LI 3p F F</t>
  </si>
  <si>
    <t>E1.2</t>
  </si>
  <si>
    <t>E1.2N 1000 Ekip Dip LI 3p F F</t>
  </si>
  <si>
    <t>E2.2N 1600 Ekip Dip LI 3p WMP</t>
  </si>
  <si>
    <t>E2.2</t>
  </si>
  <si>
    <t>E2.2N 2000 Ekip Dip LI 3p F HR</t>
  </si>
  <si>
    <t>E4.2N 3200 Ekip Dip LI 3p WMP</t>
  </si>
  <si>
    <t>E4.2</t>
  </si>
  <si>
    <t>Changeover</t>
  </si>
  <si>
    <t>ACS</t>
  </si>
  <si>
    <t>ACH</t>
  </si>
  <si>
    <t>ABB_Changeover</t>
  </si>
  <si>
    <t>ACS550-x1-07A5-2</t>
  </si>
  <si>
    <t>ACS550-x1-046A-2</t>
  </si>
  <si>
    <t>XT2L 160 TMA 125-1250 4p F F</t>
  </si>
  <si>
    <t>Rated I =</t>
  </si>
  <si>
    <t>Main incoming</t>
  </si>
  <si>
    <t>Cu</t>
  </si>
  <si>
    <t>Incoming 01</t>
  </si>
  <si>
    <t>Aux Bus 01</t>
  </si>
  <si>
    <t>W</t>
  </si>
  <si>
    <t>Raw Power Loss</t>
  </si>
  <si>
    <t>Actual Power Loss</t>
  </si>
  <si>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</si>
  <si>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k</t>
  </si>
  <si>
    <t>d</t>
  </si>
  <si>
    <t>c</t>
  </si>
  <si>
    <t>x</t>
  </si>
  <si>
    <t xml:space="preserve">k2 </t>
  </si>
  <si>
    <t>Index</t>
  </si>
  <si>
    <t>a</t>
  </si>
  <si>
    <t>Ae &lt; 1.25</t>
  </si>
  <si>
    <t>Ae &gt; 1.25 without</t>
  </si>
  <si>
    <t>Ae &gt; 1.25 with</t>
  </si>
  <si>
    <t>Curve</t>
  </si>
  <si>
    <t>Curv</t>
  </si>
  <si>
    <t>Ae</t>
  </si>
  <si>
    <t>f</t>
  </si>
  <si>
    <t>Ae=</t>
  </si>
  <si>
    <t>C1</t>
  </si>
  <si>
    <t>C2</t>
  </si>
  <si>
    <t>g</t>
  </si>
  <si>
    <t>Δt0.5</t>
  </si>
  <si>
    <t>Δt1</t>
  </si>
  <si>
    <t>ACB Incoming 01-ABB-E2.2 1600A - 1 Nos</t>
  </si>
  <si>
    <t>Target Temp</t>
  </si>
  <si>
    <t>Temp rise.</t>
  </si>
  <si>
    <t>P</t>
  </si>
  <si>
    <t>Max Power</t>
  </si>
  <si>
    <t>Busbar-Aux Bus 01(Cu) 150x10x2R (800A)</t>
  </si>
  <si>
    <t>Cable-Main incoming (Cu/PVC) 95 sqmm - 3R</t>
  </si>
  <si>
    <t>MCCB Incoming 01-ABB-XT2 160A - 1 Nos</t>
  </si>
  <si>
    <t>m</t>
  </si>
  <si>
    <t>Height</t>
  </si>
  <si>
    <t>f(m3/K/Wh)</t>
  </si>
  <si>
    <t>ΔQ</t>
  </si>
  <si>
    <t>ΔT</t>
  </si>
  <si>
    <t>dV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</si>
  <si>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</si>
  <si>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Salzer</t>
  </si>
  <si>
    <t>Airflow</t>
  </si>
  <si>
    <t>Fans</t>
  </si>
  <si>
    <t>AirFlow</t>
  </si>
  <si>
    <t>Fan Manufacturers</t>
  </si>
  <si>
    <t>PD80S-220 (25)</t>
  </si>
  <si>
    <t>PD80B-220 (25)</t>
  </si>
  <si>
    <t>PD80S-220 (38)</t>
  </si>
  <si>
    <t>PD80B-220 (38)</t>
  </si>
  <si>
    <t>PD90S-220 (25)</t>
  </si>
  <si>
    <t>PD90B-220 (25)</t>
  </si>
  <si>
    <t>PD110S-220 (25)</t>
  </si>
  <si>
    <t>PD110B-220 (25)</t>
  </si>
  <si>
    <t>PD120S-220 (38)</t>
  </si>
  <si>
    <t>PD120B-220 (25)</t>
  </si>
  <si>
    <t>PD120S-220 (25)</t>
  </si>
  <si>
    <t>PD120B-220 (38)</t>
  </si>
  <si>
    <t>Temperature Rise Calculator (IEC 60890)</t>
  </si>
  <si>
    <t>PD200B-220 (61)</t>
  </si>
  <si>
    <t>Notes*</t>
  </si>
  <si>
    <t>Tempterature Drop</t>
  </si>
  <si>
    <r>
      <t xml:space="preserve">1.Proximity and Skin effects are Not Considedred,Average conductor Temp.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</si>
  <si>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2.Edit Yellow Fields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</si>
</sst>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0000"/>
    <numFmt numFmtId="166" formatCode="0.00000000"/>
    <numFmt numFmtId="167" formatCode="0.000000000000"/>
    <numFmt numFmtId="168" formatCode="0.000"/>
    <numFmt numFmtId="185" formatCode="0.0000000000000000000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2" borderId="1" xfId="0" applyFill="1" applyBorder="1"/>
    <xf numFmtId="2" fontId="0" fillId="0" borderId="1" xfId="0" applyNumberFormat="1" applyBorder="1"/>
    <xf numFmtId="0" fontId="0" fillId="0" borderId="0" xfId="0" applyAlignment="1">
      <alignment horizontal="right"/>
    </xf>
    <xf numFmtId="0" fontId="1" fillId="0" borderId="1" xfId="0" applyFont="1" applyFill="1" applyBorder="1"/>
    <xf numFmtId="0" fontId="0" fillId="3" borderId="1" xfId="0" applyFill="1" applyBorder="1"/>
    <xf numFmtId="2" fontId="0" fillId="3" borderId="1" xfId="0" applyNumberFormat="1" applyFill="1" applyBorder="1"/>
    <xf numFmtId="0" fontId="0" fillId="0" borderId="1" xfId="0" applyFill="1" applyBorder="1"/>
    <xf numFmtId="0" fontId="0" fillId="2" borderId="1" xfId="0" applyFill="1" applyBorder="1" applyAlignment="1">
      <alignment horizontal="center"/>
    </xf>
    <xf numFmtId="2" fontId="1" fillId="4" borderId="1" xfId="0" applyNumberFormat="1" applyFont="1" applyFill="1" applyBorder="1"/>
    <xf numFmtId="2" fontId="0" fillId="0" borderId="0" xfId="0" applyNumberFormat="1"/>
    <xf numFmtId="2" fontId="0" fillId="4" borderId="1" xfId="0" applyNumberFormat="1" applyFont="1" applyFill="1" applyBorder="1"/>
    <xf numFmtId="0" fontId="1" fillId="0" borderId="0" xfId="0" applyFont="1" applyFill="1" applyBorder="1"/>
    <xf numFmtId="11" fontId="0" fillId="0" borderId="0" xfId="0" applyNumberFormat="1"/>
    <xf numFmtId="0" fontId="0" fillId="0" borderId="0" xfId="0" applyNumberFormat="1"/>
    <xf numFmtId="2" fontId="0" fillId="5" borderId="0" xfId="0" applyNumberFormat="1" applyFill="1"/>
    <xf numFmtId="2" fontId="0" fillId="6" borderId="0" xfId="0" applyNumberFormat="1" applyFill="1"/>
    <xf numFmtId="2" fontId="0" fillId="4" borderId="1" xfId="0" applyNumberFormat="1" applyFill="1" applyBorder="1"/>
    <xf numFmtId="0" fontId="2" fillId="0" borderId="0" xfId="0" applyFont="1" applyFill="1" applyBorder="1"/>
    <xf numFmtId="0" fontId="0" fillId="0" borderId="0" xfId="0" applyFill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Font="1" applyFill="1" applyBorder="1"/>
    <xf numFmtId="2" fontId="0" fillId="0" borderId="0" xfId="0" applyNumberFormat="1" applyFon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2" fontId="0" fillId="0" borderId="0" xfId="0" applyNumberFormat="1" applyBorder="1"/>
    <xf numFmtId="2" fontId="0" fillId="6" borderId="5" xfId="0" applyNumberFormat="1" applyFill="1" applyBorder="1"/>
    <xf numFmtId="0" fontId="2" fillId="0" borderId="7" xfId="0" applyFont="1" applyBorder="1"/>
    <xf numFmtId="0" fontId="2" fillId="0" borderId="9" xfId="0" applyFont="1" applyBorder="1"/>
    <xf numFmtId="2" fontId="0" fillId="0" borderId="10" xfId="0" applyNumberFormat="1" applyBorder="1"/>
    <xf numFmtId="2" fontId="0" fillId="0" borderId="6" xfId="0" applyNumberFormat="1" applyFont="1" applyBorder="1"/>
    <xf numFmtId="2" fontId="0" fillId="0" borderId="6" xfId="0" applyNumberFormat="1" applyBorder="1"/>
    <xf numFmtId="2" fontId="0" fillId="0" borderId="8" xfId="0" applyNumberFormat="1" applyBorder="1"/>
    <xf numFmtId="2" fontId="0" fillId="0" borderId="11" xfId="0" applyNumberFormat="1" applyBorder="1"/>
    <xf numFmtId="0" fontId="0" fillId="0" borderId="5" xfId="0" applyFont="1" applyBorder="1"/>
    <xf numFmtId="0" fontId="0" fillId="0" borderId="5" xfId="0" applyBorder="1" applyAlignment="1">
      <alignment horizontal="right"/>
    </xf>
    <xf numFmtId="0" fontId="0" fillId="7" borderId="0" xfId="0" applyFill="1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Border="1"/>
    <xf numFmtId="0" fontId="0" fillId="0" borderId="0" xfId="0" applyBorder="1" applyAlignment="1">
      <alignment horizontal="right"/>
    </xf>
    <xf numFmtId="0" fontId="0" fillId="0" borderId="0" xfId="0" applyFill="1" applyBorder="1"/>
    <xf numFmtId="0" fontId="7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left" indent="1"/>
    </xf>
    <xf numFmtId="0" fontId="1" fillId="0" borderId="5" xfId="0" applyFont="1" applyFill="1" applyBorder="1" applyAlignment="1">
      <alignment horizontal="left" indent="1"/>
    </xf>
    <xf numFmtId="0" fontId="1" fillId="0" borderId="5" xfId="0" applyFont="1" applyFill="1" applyBorder="1" applyAlignment="1">
      <alignment horizontal="left"/>
    </xf>
    <xf numFmtId="0" fontId="0" fillId="0" borderId="0" xfId="0" applyFont="1" applyBorder="1"/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2" fontId="9" fillId="7" borderId="1" xfId="0" applyNumberFormat="1" applyFont="1" applyFill="1" applyBorder="1"/>
    <xf numFmtId="0" fontId="9" fillId="7" borderId="1" xfId="0" applyFont="1" applyFill="1" applyBorder="1"/>
    <xf numFmtId="164" fontId="0" fillId="0" borderId="0" xfId="0" applyNumberFormat="1" applyFill="1" applyBorder="1"/>
    <xf numFmtId="0" fontId="8" fillId="0" borderId="0" xfId="0" applyFont="1" applyBorder="1" applyAlignment="1">
      <alignment vertical="center"/>
    </xf>
    <xf numFmtId="0" fontId="0" fillId="0" borderId="15" xfId="0" applyBorder="1"/>
    <xf numFmtId="2" fontId="0" fillId="0" borderId="16" xfId="0" applyNumberForma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2" fontId="0" fillId="0" borderId="21" xfId="0" applyNumberFormat="1" applyBorder="1"/>
    <xf numFmtId="0" fontId="0" fillId="0" borderId="22" xfId="0" applyBorder="1"/>
    <xf numFmtId="0" fontId="11" fillId="0" borderId="5" xfId="0" applyFont="1" applyBorder="1" applyAlignment="1"/>
    <xf numFmtId="0" fontId="11" fillId="0" borderId="0" xfId="0" applyFont="1" applyBorder="1" applyAlignment="1"/>
    <xf numFmtId="0" fontId="1" fillId="0" borderId="0" xfId="0" applyFont="1" applyBorder="1" applyAlignment="1">
      <alignment horizontal="left"/>
    </xf>
    <xf numFmtId="0" fontId="0" fillId="7" borderId="1" xfId="0" applyFill="1" applyBorder="1"/>
    <xf numFmtId="2" fontId="0" fillId="7" borderId="1" xfId="0" applyNumberFormat="1" applyFill="1" applyBorder="1"/>
    <xf numFmtId="2" fontId="1" fillId="7" borderId="1" xfId="0" applyNumberFormat="1" applyFont="1" applyFill="1" applyBorder="1"/>
    <xf numFmtId="166" fontId="0" fillId="0" borderId="0" xfId="0" applyNumberFormat="1"/>
    <xf numFmtId="168" fontId="0" fillId="0" borderId="0" xfId="0" applyNumberFormat="1"/>
    <xf numFmtId="167" fontId="0" fillId="0" borderId="0" xfId="0" applyNumberFormat="1" applyBorder="1"/>
    <xf numFmtId="165" fontId="0" fillId="0" borderId="10" xfId="0" applyNumberFormat="1" applyBorder="1"/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185" fontId="0" fillId="0" borderId="0" xfId="0" applyNumberFormat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24</xdr:row>
          <xdr:rowOff>28575</xdr:rowOff>
        </xdr:from>
        <xdr:to>
          <xdr:col>8</xdr:col>
          <xdr:colOff>628650</xdr:colOff>
          <xdr:row>26</xdr:row>
          <xdr:rowOff>28575</xdr:rowOff>
        </xdr:to>
        <xdr:sp macro="" textlink="">
          <xdr:nvSpPr>
            <xdr:cNvPr id="1025" name="cmdBusbar_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28</xdr:row>
          <xdr:rowOff>38100</xdr:rowOff>
        </xdr:from>
        <xdr:to>
          <xdr:col>8</xdr:col>
          <xdr:colOff>628650</xdr:colOff>
          <xdr:row>30</xdr:row>
          <xdr:rowOff>9525</xdr:rowOff>
        </xdr:to>
        <xdr:sp macro="" textlink="">
          <xdr:nvSpPr>
            <xdr:cNvPr id="1026" name="cmdCable_Ad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32</xdr:row>
          <xdr:rowOff>19050</xdr:rowOff>
        </xdr:from>
        <xdr:to>
          <xdr:col>8</xdr:col>
          <xdr:colOff>628650</xdr:colOff>
          <xdr:row>34</xdr:row>
          <xdr:rowOff>19050</xdr:rowOff>
        </xdr:to>
        <xdr:sp macro="" textlink="">
          <xdr:nvSpPr>
            <xdr:cNvPr id="1027" name="cmdAdd_SG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133350</xdr:rowOff>
        </xdr:from>
        <xdr:to>
          <xdr:col>10</xdr:col>
          <xdr:colOff>1200150</xdr:colOff>
          <xdr:row>0</xdr:row>
          <xdr:rowOff>476250</xdr:rowOff>
        </xdr:to>
        <xdr:sp macro="" textlink="">
          <xdr:nvSpPr>
            <xdr:cNvPr id="1079" name="cmdClear_Loss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1314450</xdr:colOff>
          <xdr:row>0</xdr:row>
          <xdr:rowOff>152400</xdr:rowOff>
        </xdr:from>
        <xdr:to>
          <xdr:col>10</xdr:col>
          <xdr:colOff>2571750</xdr:colOff>
          <xdr:row>0</xdr:row>
          <xdr:rowOff>476250</xdr:rowOff>
        </xdr:to>
        <xdr:sp macro="" textlink="">
          <xdr:nvSpPr>
            <xdr:cNvPr id="1080" name="cmdDeletPowerloss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57150</xdr:colOff>
      <xdr:row>0</xdr:row>
      <xdr:rowOff>44731</xdr:rowOff>
    </xdr:from>
    <xdr:to>
      <xdr:col>1</xdr:col>
      <xdr:colOff>161925</xdr:colOff>
      <xdr:row>0</xdr:row>
      <xdr:rowOff>517967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44731"/>
          <a:ext cx="1495425" cy="4732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2"/>
  <sheetViews>
    <sheetView showGridLines="0" zoomScaleNormal="100" workbookViewId="0">
      <selection activeCell="B7" sqref="B7"/>
    </sheetView>
  </sheetViews>
  <sheetFormatPr defaultRowHeight="15" x14ac:dyDescent="0.25"/>
  <cols>
    <col min="1" max="1" width="20.85546875" customWidth="1"/>
    <col min="2" max="2" width="21.7109375" bestFit="1" customWidth="1"/>
    <col min="3" max="3" width="11.85546875" bestFit="1" customWidth="1"/>
    <col min="4" max="4" width="20.28515625" bestFit="1" customWidth="1"/>
    <col min="5" max="5" width="27" bestFit="1" customWidth="1"/>
    <col min="6" max="7" width="12.28515625" bestFit="1" customWidth="1"/>
    <col min="8" max="8" width="10.140625" customWidth="1"/>
    <col min="9" max="9" width="10.85546875" bestFit="1" customWidth="1"/>
    <col min="10" max="10" width="5" customWidth="1"/>
    <col min="11" max="11" width="45.5703125" bestFit="1" customWidth="1"/>
    <col min="12" max="12" width="9.5703125" style="13" bestFit="1" customWidth="1"/>
    <col min="13" max="13" width="3.7109375" customWidth="1"/>
  </cols>
  <sheetData>
    <row r="1" spans="1:13" ht="42.75" customHeight="1" thickBot="1" x14ac:dyDescent="0.3">
      <c r="A1" s="82" t="s">
        <v>174</v>
      </c>
      <c r="B1" s="83"/>
      <c r="C1" s="83"/>
      <c r="D1" s="83"/>
      <c r="E1" s="83"/>
      <c r="F1" s="83"/>
      <c r="G1" s="83"/>
      <c r="H1" s="83"/>
      <c r="I1" s="84"/>
      <c r="J1" s="63"/>
      <c r="K1" s="64"/>
      <c r="L1" s="65"/>
      <c r="M1" s="66"/>
    </row>
    <row r="2" spans="1:13" x14ac:dyDescent="0.25">
      <c r="A2" s="28"/>
      <c r="B2" s="29"/>
      <c r="C2" s="29"/>
      <c r="D2" s="29"/>
      <c r="E2" s="29"/>
      <c r="F2" s="29"/>
      <c r="G2" s="29"/>
      <c r="H2" s="29"/>
      <c r="I2" s="30"/>
      <c r="J2" s="29"/>
      <c r="K2" s="67"/>
      <c r="L2" s="31"/>
      <c r="M2" s="68"/>
    </row>
    <row r="3" spans="1:13" ht="17.25" x14ac:dyDescent="0.25">
      <c r="A3" s="50" t="s">
        <v>0</v>
      </c>
      <c r="B3" s="4" t="s">
        <v>7</v>
      </c>
      <c r="C3" s="29"/>
      <c r="D3" s="46" t="s">
        <v>47</v>
      </c>
      <c r="E3" s="4">
        <v>35</v>
      </c>
      <c r="F3" s="29" t="s">
        <v>121</v>
      </c>
      <c r="G3" s="46" t="s">
        <v>46</v>
      </c>
      <c r="H3" s="8">
        <f>QUOTIENT(B17,1500)+IF(MOD(B17,1500)&gt;0,1,0)</f>
        <v>2</v>
      </c>
      <c r="I3" s="30"/>
      <c r="J3" s="29"/>
      <c r="K3" s="3" t="s">
        <v>4</v>
      </c>
      <c r="L3" s="12">
        <f>SUM(L4:L1048576)</f>
        <v>394.26964912280704</v>
      </c>
      <c r="M3" s="68" t="s">
        <v>118</v>
      </c>
    </row>
    <row r="4" spans="1:13" x14ac:dyDescent="0.25">
      <c r="A4" s="28"/>
      <c r="B4" s="29"/>
      <c r="C4" s="29"/>
      <c r="G4" s="29"/>
      <c r="H4" s="29"/>
      <c r="I4" s="30"/>
      <c r="J4" s="29"/>
      <c r="K4" s="67" t="s">
        <v>147</v>
      </c>
      <c r="L4" s="31">
        <v>22.293333333333333</v>
      </c>
      <c r="M4" s="68"/>
    </row>
    <row r="5" spans="1:13" x14ac:dyDescent="0.25">
      <c r="A5" s="50" t="s">
        <v>1</v>
      </c>
      <c r="B5" s="4" t="s">
        <v>3</v>
      </c>
      <c r="C5" s="29"/>
      <c r="D5" s="46" t="s">
        <v>60</v>
      </c>
      <c r="E5" s="4">
        <v>0.85</v>
      </c>
      <c r="G5" s="1" t="s">
        <v>134</v>
      </c>
      <c r="H5" s="9">
        <f>calc!P51</f>
        <v>8.9699999999999989</v>
      </c>
      <c r="I5" s="30"/>
      <c r="J5" s="29"/>
      <c r="K5" s="67" t="s">
        <v>148</v>
      </c>
      <c r="L5" s="31">
        <v>35.526315789473685</v>
      </c>
      <c r="M5" s="68"/>
    </row>
    <row r="6" spans="1:13" x14ac:dyDescent="0.25">
      <c r="A6" s="28"/>
      <c r="B6" s="29"/>
      <c r="C6" s="29"/>
      <c r="I6" s="30"/>
      <c r="J6" s="29"/>
      <c r="K6" s="67" t="s">
        <v>149</v>
      </c>
      <c r="L6" s="31">
        <v>48.45</v>
      </c>
      <c r="M6" s="68"/>
    </row>
    <row r="7" spans="1:13" ht="17.25" x14ac:dyDescent="0.25">
      <c r="A7" s="50" t="str">
        <f>IF(B3="Natural_Ventilation","Louver Area","")</f>
        <v>Louver Area</v>
      </c>
      <c r="B7" s="4">
        <v>0</v>
      </c>
      <c r="C7" s="29" t="s">
        <v>156</v>
      </c>
      <c r="D7" s="46" t="s">
        <v>143</v>
      </c>
      <c r="E7" s="4">
        <v>40</v>
      </c>
      <c r="F7" t="s">
        <v>121</v>
      </c>
      <c r="I7" s="30"/>
      <c r="J7" s="29"/>
      <c r="K7" s="67" t="s">
        <v>142</v>
      </c>
      <c r="L7" s="31">
        <v>288</v>
      </c>
      <c r="M7" s="68"/>
    </row>
    <row r="8" spans="1:13" x14ac:dyDescent="0.25">
      <c r="A8" s="28"/>
      <c r="B8" s="29"/>
      <c r="C8" s="29"/>
      <c r="I8" s="30"/>
      <c r="J8" s="29"/>
      <c r="K8" s="67"/>
      <c r="L8" s="31"/>
      <c r="M8" s="68"/>
    </row>
    <row r="9" spans="1:13" x14ac:dyDescent="0.25">
      <c r="A9" s="50" t="s">
        <v>10</v>
      </c>
      <c r="B9" s="4">
        <v>0</v>
      </c>
      <c r="C9" s="29" t="s">
        <v>150</v>
      </c>
      <c r="H9">
        <f>QUOTIENT(2200,1500)</f>
        <v>1</v>
      </c>
      <c r="I9" s="30"/>
      <c r="J9" s="29"/>
      <c r="K9" s="67"/>
      <c r="L9" s="31"/>
      <c r="M9" s="68"/>
    </row>
    <row r="10" spans="1:13" x14ac:dyDescent="0.25">
      <c r="A10" s="28"/>
      <c r="B10" s="29"/>
      <c r="C10" s="29"/>
      <c r="D10" s="46" t="s">
        <v>119</v>
      </c>
      <c r="E10" s="14">
        <f>L3</f>
        <v>394.26964912280704</v>
      </c>
      <c r="F10" s="29" t="s">
        <v>118</v>
      </c>
      <c r="H10">
        <f>MOD(2200,1500)</f>
        <v>700</v>
      </c>
      <c r="I10" s="30"/>
      <c r="J10" s="29"/>
      <c r="K10" s="67"/>
      <c r="L10" s="31"/>
      <c r="M10" s="68"/>
    </row>
    <row r="11" spans="1:13" x14ac:dyDescent="0.25">
      <c r="A11" s="50" t="s">
        <v>11</v>
      </c>
      <c r="B11" s="4" t="s">
        <v>15</v>
      </c>
      <c r="C11" s="29"/>
      <c r="D11" s="46" t="s">
        <v>120</v>
      </c>
      <c r="E11" s="14">
        <f>E10*(E5^2)</f>
        <v>284.85982149122805</v>
      </c>
      <c r="F11" s="29" t="s">
        <v>118</v>
      </c>
      <c r="H11">
        <f>QUOTIENT(1000,1500)+IF(MOD(1000,1500)&gt;0,1,0)</f>
        <v>1</v>
      </c>
      <c r="I11" s="30"/>
      <c r="J11" s="29"/>
      <c r="K11" s="67"/>
      <c r="L11" s="31"/>
      <c r="M11" s="68"/>
    </row>
    <row r="12" spans="1:13" x14ac:dyDescent="0.25">
      <c r="A12" s="28"/>
      <c r="B12" s="29"/>
      <c r="C12" s="29"/>
      <c r="D12" s="15" t="s">
        <v>140</v>
      </c>
      <c r="E12" s="20">
        <f>IF(calc!P51&lt;1.25,calc!P7,IF(AND(calc!P51&gt;1.25,Main!B7=0),calc!N7,calc!O7))</f>
        <v>9.6535309613245222</v>
      </c>
      <c r="F12" s="29"/>
      <c r="G12" s="29"/>
      <c r="H12" s="29"/>
      <c r="I12" s="30"/>
      <c r="J12" s="29"/>
      <c r="K12" s="67"/>
      <c r="L12" s="31"/>
      <c r="M12" s="68"/>
    </row>
    <row r="13" spans="1:13" x14ac:dyDescent="0.25">
      <c r="A13" s="50" t="s">
        <v>13</v>
      </c>
      <c r="B13" s="4" t="s">
        <v>12</v>
      </c>
      <c r="C13" s="29"/>
      <c r="D13" s="15" t="s">
        <v>141</v>
      </c>
      <c r="E13" s="20">
        <f>IF(calc!P51&lt;1.25,calc!P8,IF(AND(calc!P51&gt;1.25,Main!B7=0),calc!N8,calc!O8))</f>
        <v>13.198734010369495</v>
      </c>
      <c r="F13" s="29"/>
      <c r="I13" s="30"/>
      <c r="J13" s="29"/>
      <c r="K13" s="67"/>
      <c r="L13" s="31"/>
      <c r="M13" s="68"/>
    </row>
    <row r="14" spans="1:13" x14ac:dyDescent="0.25">
      <c r="A14" s="28"/>
      <c r="B14" s="29"/>
      <c r="C14" s="29"/>
      <c r="H14" s="29"/>
      <c r="I14" s="30"/>
      <c r="J14" s="29"/>
      <c r="K14" s="67"/>
      <c r="L14" s="31"/>
      <c r="M14" s="68"/>
    </row>
    <row r="15" spans="1:13" x14ac:dyDescent="0.25">
      <c r="A15" s="50" t="s">
        <v>23</v>
      </c>
      <c r="B15" s="29"/>
      <c r="C15" s="29"/>
      <c r="I15" s="30"/>
      <c r="J15" s="29"/>
      <c r="K15" s="67"/>
      <c r="L15" s="31"/>
      <c r="M15" s="68"/>
    </row>
    <row r="16" spans="1:13" x14ac:dyDescent="0.25">
      <c r="A16" s="51" t="s">
        <v>24</v>
      </c>
      <c r="B16" s="4">
        <v>2200</v>
      </c>
      <c r="C16" s="29" t="s">
        <v>45</v>
      </c>
      <c r="D16" s="15" t="str">
        <f>IF(B3="Natural_Ventilation","Temp. of Max. Height","")</f>
        <v>Temp. of Max. Height</v>
      </c>
      <c r="E16" s="60">
        <f>IF(B3="Natural_Ventilation",E3+E13,"")</f>
        <v>48.198734010369492</v>
      </c>
      <c r="F16" s="29" t="str">
        <f>IF(B3="Natural_Ventilation",CHAR(176)&amp;"C","")</f>
        <v>°C</v>
      </c>
      <c r="H16" s="29"/>
      <c r="I16" s="30"/>
      <c r="J16" s="29"/>
      <c r="K16" s="67"/>
      <c r="L16" s="31"/>
      <c r="M16" s="68"/>
    </row>
    <row r="17" spans="1:13" x14ac:dyDescent="0.25">
      <c r="A17" s="52" t="s">
        <v>25</v>
      </c>
      <c r="B17" s="4">
        <v>3000</v>
      </c>
      <c r="C17" s="29" t="s">
        <v>45</v>
      </c>
      <c r="D17" s="46" t="str">
        <f>IF(B3="Forced_Ventilation","Fan Capacity","")</f>
        <v/>
      </c>
      <c r="E17" s="60" t="str">
        <f>IF(B3="Forced_Ventilation",calc!M38,"")</f>
        <v/>
      </c>
      <c r="F17" s="29" t="str">
        <f>IF(B3="Forced_Ventilation","m"&amp;CHAR(179)&amp;"/h","")</f>
        <v/>
      </c>
      <c r="H17" s="29"/>
      <c r="I17" s="30"/>
      <c r="J17" s="29"/>
      <c r="K17" s="67"/>
      <c r="L17" s="31"/>
      <c r="M17" s="68"/>
    </row>
    <row r="18" spans="1:13" x14ac:dyDescent="0.25">
      <c r="A18" s="51" t="s">
        <v>26</v>
      </c>
      <c r="B18" s="4">
        <v>500</v>
      </c>
      <c r="C18" s="29" t="s">
        <v>45</v>
      </c>
      <c r="D18" s="15" t="str">
        <f>IF(B3="Forced_Ventilation","Fan Qty","")</f>
        <v/>
      </c>
      <c r="E18" s="61" t="str">
        <f>IF(B3="Forced_Ventilation",IF(E17/C38 &gt;0,CEILING(E17/C38,1),0),"")</f>
        <v/>
      </c>
      <c r="F18" s="54" t="str">
        <f>IF(B3="Forced_Ventilation","("&amp;B38&amp;")","")</f>
        <v/>
      </c>
      <c r="H18" s="29"/>
      <c r="I18" s="30"/>
      <c r="J18" s="29"/>
      <c r="K18" s="67"/>
      <c r="L18" s="31"/>
      <c r="M18" s="68"/>
    </row>
    <row r="19" spans="1:13" x14ac:dyDescent="0.25">
      <c r="A19" s="28"/>
      <c r="B19" s="29"/>
      <c r="C19" s="29"/>
      <c r="D19" s="74" t="str">
        <f>IF(B3="Forced_Ventilation","Max. Temp.","")</f>
        <v/>
      </c>
      <c r="E19" s="77" t="str">
        <f>IF(B3="Forced_Ventilation",E3+calc!O38,"")</f>
        <v/>
      </c>
      <c r="F19" s="29" t="str">
        <f>IF(B3="Forced_Ventilation",CHAR(176)&amp;"C","")</f>
        <v/>
      </c>
      <c r="H19" s="29"/>
      <c r="I19" s="30"/>
      <c r="J19" s="29"/>
      <c r="K19" s="67"/>
      <c r="L19" s="31"/>
      <c r="M19" s="68"/>
    </row>
    <row r="20" spans="1:13" x14ac:dyDescent="0.25">
      <c r="A20" s="53" t="s">
        <v>27</v>
      </c>
      <c r="B20" s="4">
        <v>0</v>
      </c>
      <c r="C20" s="29"/>
      <c r="H20" s="29"/>
      <c r="I20" s="30"/>
      <c r="J20" s="29"/>
      <c r="K20" s="67"/>
      <c r="L20" s="31"/>
      <c r="M20" s="68"/>
    </row>
    <row r="21" spans="1:13" x14ac:dyDescent="0.25">
      <c r="A21" s="28"/>
      <c r="B21" s="29"/>
      <c r="C21" s="29"/>
      <c r="H21" s="29"/>
      <c r="I21" s="30"/>
      <c r="J21" s="29"/>
      <c r="K21" s="67"/>
      <c r="L21" s="31"/>
      <c r="M21" s="68"/>
    </row>
    <row r="22" spans="1:13" ht="15.75" x14ac:dyDescent="0.25">
      <c r="B22" s="73"/>
      <c r="C22" s="46"/>
      <c r="H22" s="29"/>
      <c r="I22" s="30"/>
      <c r="J22" s="29"/>
      <c r="K22" s="67"/>
      <c r="L22" s="31"/>
      <c r="M22" s="68"/>
    </row>
    <row r="23" spans="1:13" ht="15.75" x14ac:dyDescent="0.25">
      <c r="A23" s="72" t="s">
        <v>54</v>
      </c>
      <c r="B23" s="29"/>
      <c r="C23" s="29"/>
      <c r="H23" s="29"/>
      <c r="I23" s="30"/>
      <c r="J23" s="29"/>
      <c r="K23" s="67"/>
      <c r="L23" s="31"/>
      <c r="M23" s="68"/>
    </row>
    <row r="24" spans="1:13" x14ac:dyDescent="0.25">
      <c r="A24" s="50" t="s">
        <v>51</v>
      </c>
      <c r="B24" s="29"/>
      <c r="C24" s="29"/>
      <c r="D24" s="29"/>
      <c r="E24" s="29"/>
      <c r="F24" s="29"/>
      <c r="G24" s="29"/>
      <c r="H24" s="29"/>
      <c r="I24" s="30"/>
      <c r="J24" s="29"/>
      <c r="K24" s="67"/>
      <c r="L24" s="31"/>
      <c r="M24" s="68"/>
    </row>
    <row r="25" spans="1:13" x14ac:dyDescent="0.25">
      <c r="A25" s="3" t="s">
        <v>65</v>
      </c>
      <c r="B25" s="3" t="s">
        <v>66</v>
      </c>
      <c r="C25" s="3" t="s">
        <v>49</v>
      </c>
      <c r="D25" s="3" t="s">
        <v>50</v>
      </c>
      <c r="E25" s="3" t="s">
        <v>48</v>
      </c>
      <c r="F25" s="7" t="s">
        <v>61</v>
      </c>
      <c r="G25" s="3" t="s">
        <v>58</v>
      </c>
      <c r="H25" s="7" t="s">
        <v>72</v>
      </c>
      <c r="I25" s="30"/>
      <c r="J25" s="29"/>
      <c r="K25" s="67"/>
      <c r="L25" s="31"/>
      <c r="M25" s="68"/>
    </row>
    <row r="26" spans="1:13" x14ac:dyDescent="0.25">
      <c r="A26" s="4" t="s">
        <v>117</v>
      </c>
      <c r="B26" s="4" t="s">
        <v>115</v>
      </c>
      <c r="C26" s="4">
        <v>150</v>
      </c>
      <c r="D26" s="4">
        <v>10</v>
      </c>
      <c r="E26" s="11">
        <v>2</v>
      </c>
      <c r="F26" s="4">
        <v>5</v>
      </c>
      <c r="G26" s="4">
        <v>800</v>
      </c>
      <c r="H26" s="9">
        <f>IFERROR(((IF(B26="Al",data!B4,data!B2)/1000)*Main!F26)/(Main!C26*Main!D26*Main!E26)*(G26^2),"")</f>
        <v>22.293333333333333</v>
      </c>
      <c r="I26" s="30"/>
      <c r="J26" s="29"/>
      <c r="K26" s="67"/>
      <c r="L26" s="31"/>
      <c r="M26" s="68"/>
    </row>
    <row r="27" spans="1:13" x14ac:dyDescent="0.25">
      <c r="A27" s="28"/>
      <c r="B27" s="29"/>
      <c r="C27" s="29"/>
      <c r="D27" s="29"/>
      <c r="E27" s="29"/>
      <c r="F27" s="29"/>
      <c r="G27" s="29"/>
      <c r="H27" s="29"/>
      <c r="I27" s="30"/>
      <c r="J27" s="29"/>
      <c r="K27" s="67"/>
      <c r="L27" s="31"/>
      <c r="M27" s="68"/>
    </row>
    <row r="28" spans="1:13" x14ac:dyDescent="0.25">
      <c r="A28" s="50" t="s">
        <v>53</v>
      </c>
      <c r="B28" s="29"/>
      <c r="C28" s="29"/>
      <c r="D28" s="29"/>
      <c r="E28" s="29"/>
      <c r="F28" s="29"/>
      <c r="G28" s="29"/>
      <c r="H28" s="29"/>
      <c r="I28" s="30"/>
      <c r="J28" s="29"/>
      <c r="K28" s="67"/>
      <c r="L28" s="31"/>
      <c r="M28" s="68"/>
    </row>
    <row r="29" spans="1:13" ht="17.25" x14ac:dyDescent="0.25">
      <c r="A29" s="3" t="s">
        <v>65</v>
      </c>
      <c r="B29" s="3" t="s">
        <v>66</v>
      </c>
      <c r="C29" s="3" t="s">
        <v>52</v>
      </c>
      <c r="D29" s="3" t="s">
        <v>68</v>
      </c>
      <c r="E29" s="3" t="s">
        <v>48</v>
      </c>
      <c r="F29" s="3" t="s">
        <v>61</v>
      </c>
      <c r="G29" s="3" t="s">
        <v>58</v>
      </c>
      <c r="H29" s="3" t="s">
        <v>72</v>
      </c>
      <c r="I29" s="30"/>
      <c r="J29" s="29"/>
      <c r="K29" s="67"/>
      <c r="L29" s="31"/>
      <c r="M29" s="68"/>
    </row>
    <row r="30" spans="1:13" x14ac:dyDescent="0.25">
      <c r="A30" s="4" t="s">
        <v>114</v>
      </c>
      <c r="B30" s="4" t="s">
        <v>115</v>
      </c>
      <c r="C30" s="4" t="s">
        <v>69</v>
      </c>
      <c r="D30" s="4">
        <v>95</v>
      </c>
      <c r="E30" s="11">
        <v>3</v>
      </c>
      <c r="F30" s="4">
        <v>5</v>
      </c>
      <c r="G30" s="4">
        <v>100</v>
      </c>
      <c r="H30" s="9">
        <f>IFERROR(((IF(B30="Al",data!B5,data!B3)/1000)*F30/D30)*(G30^2)*E30,"")</f>
        <v>35.526315789473685</v>
      </c>
      <c r="I30" s="30"/>
      <c r="J30" s="29"/>
      <c r="K30" s="67"/>
      <c r="L30" s="31"/>
      <c r="M30" s="68"/>
    </row>
    <row r="31" spans="1:13" x14ac:dyDescent="0.25">
      <c r="A31" s="28"/>
      <c r="B31" s="29"/>
      <c r="C31" s="29"/>
      <c r="D31" s="29"/>
      <c r="E31" s="29"/>
      <c r="F31" s="29"/>
      <c r="G31" s="29"/>
      <c r="H31" s="29"/>
      <c r="I31" s="30"/>
      <c r="J31" s="29"/>
      <c r="K31" s="67"/>
      <c r="L31" s="31"/>
      <c r="M31" s="68"/>
    </row>
    <row r="32" spans="1:13" x14ac:dyDescent="0.25">
      <c r="A32" s="50" t="s">
        <v>67</v>
      </c>
      <c r="B32" s="29"/>
      <c r="C32" s="29"/>
      <c r="D32" s="29"/>
      <c r="E32" s="29"/>
      <c r="F32" s="55" t="s">
        <v>113</v>
      </c>
      <c r="G32" s="56">
        <f>INDEX(calc!AD:AD,MATCH(E34,calc!AC:AC,0))</f>
        <v>63</v>
      </c>
      <c r="H32" s="29"/>
      <c r="I32" s="30"/>
      <c r="J32" s="29"/>
      <c r="K32" s="67"/>
      <c r="L32" s="31"/>
      <c r="M32" s="68"/>
    </row>
    <row r="33" spans="1:13" x14ac:dyDescent="0.25">
      <c r="A33" s="3" t="s">
        <v>65</v>
      </c>
      <c r="B33" s="3" t="s">
        <v>77</v>
      </c>
      <c r="C33" s="3" t="s">
        <v>52</v>
      </c>
      <c r="D33" s="3" t="s">
        <v>57</v>
      </c>
      <c r="E33" s="3" t="s">
        <v>55</v>
      </c>
      <c r="F33" s="3" t="s">
        <v>56</v>
      </c>
      <c r="G33" s="3" t="s">
        <v>59</v>
      </c>
      <c r="H33" s="3" t="s">
        <v>72</v>
      </c>
      <c r="I33" s="30"/>
      <c r="J33" s="29"/>
      <c r="K33" s="67"/>
      <c r="L33" s="31"/>
      <c r="M33" s="68"/>
    </row>
    <row r="34" spans="1:13" x14ac:dyDescent="0.25">
      <c r="A34" s="4" t="s">
        <v>116</v>
      </c>
      <c r="B34" s="4" t="s">
        <v>78</v>
      </c>
      <c r="C34" s="4" t="s">
        <v>73</v>
      </c>
      <c r="D34" s="4" t="s">
        <v>89</v>
      </c>
      <c r="E34" s="4" t="s">
        <v>90</v>
      </c>
      <c r="F34" s="4">
        <v>1</v>
      </c>
      <c r="G34" s="4">
        <v>63</v>
      </c>
      <c r="H34" s="8">
        <f>INDEX(calc!AE:AE,MATCH(E34,calc!AC:AC,0))*((G34/INDEX(calc!AD:AD,MATCH(E34,calc!AC:AC,0)))^2)*F34</f>
        <v>12.9</v>
      </c>
      <c r="I34" s="30"/>
      <c r="J34" s="29"/>
      <c r="K34" s="67"/>
      <c r="L34" s="31"/>
      <c r="M34" s="68"/>
    </row>
    <row r="35" spans="1:13" x14ac:dyDescent="0.25">
      <c r="A35" s="28"/>
      <c r="B35" s="29"/>
      <c r="C35" s="29"/>
      <c r="D35" s="29"/>
      <c r="E35" s="29"/>
      <c r="F35" s="29"/>
      <c r="G35" s="29"/>
      <c r="H35" s="29"/>
      <c r="I35" s="30"/>
      <c r="J35" s="29"/>
      <c r="K35" s="67"/>
      <c r="L35" s="31"/>
      <c r="M35" s="68"/>
    </row>
    <row r="36" spans="1:13" x14ac:dyDescent="0.25">
      <c r="A36" s="50" t="s">
        <v>159</v>
      </c>
      <c r="B36" s="29"/>
      <c r="C36" s="29"/>
      <c r="D36" s="29"/>
      <c r="E36" s="29"/>
      <c r="F36" s="29"/>
      <c r="G36" s="29"/>
      <c r="H36" s="29"/>
      <c r="I36" s="30"/>
      <c r="J36" s="29"/>
      <c r="K36" s="67"/>
      <c r="L36" s="31"/>
      <c r="M36" s="68"/>
    </row>
    <row r="37" spans="1:13" x14ac:dyDescent="0.25">
      <c r="A37" s="7" t="s">
        <v>77</v>
      </c>
      <c r="B37" s="3" t="s">
        <v>55</v>
      </c>
      <c r="C37" s="3" t="s">
        <v>160</v>
      </c>
      <c r="D37" s="29"/>
      <c r="E37" s="29"/>
      <c r="F37" s="29"/>
      <c r="G37" s="29"/>
      <c r="H37" s="29"/>
      <c r="I37" s="30"/>
      <c r="J37" s="29"/>
      <c r="K37" s="67"/>
      <c r="L37" s="31"/>
      <c r="M37" s="68"/>
    </row>
    <row r="38" spans="1:13" x14ac:dyDescent="0.25">
      <c r="A38" s="4" t="s">
        <v>157</v>
      </c>
      <c r="B38" s="4" t="s">
        <v>173</v>
      </c>
      <c r="C38" s="4">
        <f>INDEX(calc!AI:AI,MATCH(Main!B38,calc!AH:AH,0))</f>
        <v>189</v>
      </c>
      <c r="D38" s="29"/>
      <c r="E38" s="29"/>
      <c r="F38" s="29"/>
      <c r="G38" s="29"/>
      <c r="H38" s="29"/>
      <c r="I38" s="30"/>
      <c r="J38" s="29"/>
      <c r="K38" s="67"/>
      <c r="L38" s="31"/>
      <c r="M38" s="68"/>
    </row>
    <row r="39" spans="1:13" ht="15.75" thickBot="1" x14ac:dyDescent="0.3">
      <c r="A39" s="57"/>
      <c r="B39" s="58"/>
      <c r="C39" s="58"/>
      <c r="D39" s="58"/>
      <c r="E39" s="58"/>
      <c r="F39" s="58"/>
      <c r="G39" s="58"/>
      <c r="H39" s="58"/>
      <c r="I39" s="59"/>
      <c r="J39" s="29"/>
      <c r="K39" s="69"/>
      <c r="L39" s="70"/>
      <c r="M39" s="71"/>
    </row>
    <row r="40" spans="1:13" x14ac:dyDescent="0.25">
      <c r="A40" s="29" t="s">
        <v>176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31"/>
      <c r="M40" s="29"/>
    </row>
    <row r="41" spans="1:13" ht="17.25" x14ac:dyDescent="0.25">
      <c r="A41" t="s">
        <v>178</v>
      </c>
    </row>
    <row r="42" spans="1:13" x14ac:dyDescent="0.25">
      <c r="A42" t="s">
        <v>179</v>
      </c>
    </row>
  </sheetData>
  <mergeCells count="1">
    <mergeCell ref="A1:I1"/>
  </mergeCells>
  <dataValidations count="13">
    <dataValidation type="custom" operator="greaterThan" allowBlank="1" showInputMessage="1" showErrorMessage="1" sqref="B7">
      <formula1>A7&lt;&gt;""</formula1>
    </dataValidation>
    <dataValidation type="list" allowBlank="1" showInputMessage="1" showErrorMessage="1" sqref="B13">
      <formula1>INDIRECT($B$11)</formula1>
    </dataValidation>
    <dataValidation type="list" showInputMessage="1" showErrorMessage="1" sqref="B20">
      <formula1>"0,1,2,3,"</formula1>
    </dataValidation>
    <dataValidation operator="lessThan" allowBlank="1" showInputMessage="1" showErrorMessage="1" sqref="B17"/>
    <dataValidation type="list" showInputMessage="1" showErrorMessage="1" sqref="B26">
      <formula1>"Cu,Al"</formula1>
    </dataValidation>
    <dataValidation type="list" allowBlank="1" showInputMessage="1" showErrorMessage="1" sqref="B30">
      <formula1>"Cu,Al"</formula1>
    </dataValidation>
    <dataValidation type="list" showInputMessage="1" showErrorMessage="1" sqref="C30">
      <formula1>"PVC"</formula1>
    </dataValidation>
    <dataValidation type="list" allowBlank="1" showInputMessage="1" showErrorMessage="1" sqref="C34">
      <formula1>INDIRECT($B$34)</formula1>
    </dataValidation>
    <dataValidation type="list" allowBlank="1" showInputMessage="1" showErrorMessage="1" sqref="D34">
      <formula1>INDIRECT($B$34&amp;"_"&amp;$C$34)</formula1>
    </dataValidation>
    <dataValidation type="list" allowBlank="1" showInputMessage="1" showErrorMessage="1" sqref="E34">
      <formula1>INDIRECT("Models")</formula1>
    </dataValidation>
    <dataValidation type="list" showInputMessage="1" showErrorMessage="1" sqref="B9">
      <formula1>"0,500,1000,1500,2000,2500,3000,3500"</formula1>
    </dataValidation>
    <dataValidation type="list" allowBlank="1" showInputMessage="1" showErrorMessage="1" sqref="B38">
      <formula1>INDIRECT("Fans")</formula1>
    </dataValidation>
    <dataValidation type="decimal" operator="greaterThan" allowBlank="1" showInputMessage="1" showErrorMessage="1" errorTitle="Wrong Value" error="Target Temp. must be greater than Ambient temp." sqref="E7">
      <formula1>E3</formula1>
    </dataValidation>
  </dataValidations>
  <pageMargins left="0.7" right="0.7" top="0.75" bottom="0.75" header="0.3" footer="0.3"/>
  <pageSetup paperSize="9" orientation="portrait" horizontalDpi="120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mdBusbar_Add">
          <controlPr defaultSize="0" autoLine="0" r:id="rId5">
            <anchor moveWithCells="1">
              <from>
                <xdr:col>8</xdr:col>
                <xdr:colOff>85725</xdr:colOff>
                <xdr:row>24</xdr:row>
                <xdr:rowOff>28575</xdr:rowOff>
              </from>
              <to>
                <xdr:col>8</xdr:col>
                <xdr:colOff>628650</xdr:colOff>
                <xdr:row>26</xdr:row>
                <xdr:rowOff>28575</xdr:rowOff>
              </to>
            </anchor>
          </controlPr>
        </control>
      </mc:Choice>
      <mc:Fallback>
        <control shapeId="1025" r:id="rId4" name="cmdBusbar_Add"/>
      </mc:Fallback>
    </mc:AlternateContent>
    <mc:AlternateContent xmlns:mc="http://schemas.openxmlformats.org/markup-compatibility/2006">
      <mc:Choice Requires="x14">
        <control shapeId="1026" r:id="rId6" name="cmdCable_Add">
          <controlPr defaultSize="0" autoLine="0" r:id="rId7">
            <anchor moveWithCells="1">
              <from>
                <xdr:col>8</xdr:col>
                <xdr:colOff>85725</xdr:colOff>
                <xdr:row>28</xdr:row>
                <xdr:rowOff>38100</xdr:rowOff>
              </from>
              <to>
                <xdr:col>8</xdr:col>
                <xdr:colOff>628650</xdr:colOff>
                <xdr:row>30</xdr:row>
                <xdr:rowOff>9525</xdr:rowOff>
              </to>
            </anchor>
          </controlPr>
        </control>
      </mc:Choice>
      <mc:Fallback>
        <control shapeId="1026" r:id="rId6" name="cmdCable_Add"/>
      </mc:Fallback>
    </mc:AlternateContent>
    <mc:AlternateContent xmlns:mc="http://schemas.openxmlformats.org/markup-compatibility/2006">
      <mc:Choice Requires="x14">
        <control shapeId="1027" r:id="rId8" name="cmdAdd_SG">
          <controlPr defaultSize="0" autoLine="0" r:id="rId9">
            <anchor moveWithCells="1">
              <from>
                <xdr:col>8</xdr:col>
                <xdr:colOff>85725</xdr:colOff>
                <xdr:row>32</xdr:row>
                <xdr:rowOff>19050</xdr:rowOff>
              </from>
              <to>
                <xdr:col>8</xdr:col>
                <xdr:colOff>628650</xdr:colOff>
                <xdr:row>34</xdr:row>
                <xdr:rowOff>19050</xdr:rowOff>
              </to>
            </anchor>
          </controlPr>
        </control>
      </mc:Choice>
      <mc:Fallback>
        <control shapeId="1027" r:id="rId8" name="cmdAdd_SG"/>
      </mc:Fallback>
    </mc:AlternateContent>
    <mc:AlternateContent xmlns:mc="http://schemas.openxmlformats.org/markup-compatibility/2006">
      <mc:Choice Requires="x14">
        <control shapeId="1079" r:id="rId10" name="cmdClear_Loss">
          <controlPr defaultSize="0" autoLine="0" r:id="rId11">
            <anchor moveWithCells="1">
              <from>
                <xdr:col>10</xdr:col>
                <xdr:colOff>19050</xdr:colOff>
                <xdr:row>0</xdr:row>
                <xdr:rowOff>133350</xdr:rowOff>
              </from>
              <to>
                <xdr:col>10</xdr:col>
                <xdr:colOff>1200150</xdr:colOff>
                <xdr:row>0</xdr:row>
                <xdr:rowOff>476250</xdr:rowOff>
              </to>
            </anchor>
          </controlPr>
        </control>
      </mc:Choice>
      <mc:Fallback>
        <control shapeId="1079" r:id="rId10" name="cmdClear_Loss"/>
      </mc:Fallback>
    </mc:AlternateContent>
    <mc:AlternateContent xmlns:mc="http://schemas.openxmlformats.org/markup-compatibility/2006">
      <mc:Choice Requires="x14">
        <control shapeId="1080" r:id="rId12" name="cmdDeletPowerloss">
          <controlPr defaultSize="0" autoLine="0" r:id="rId13">
            <anchor moveWithCells="1">
              <from>
                <xdr:col>10</xdr:col>
                <xdr:colOff>1314450</xdr:colOff>
                <xdr:row>0</xdr:row>
                <xdr:rowOff>152400</xdr:rowOff>
              </from>
              <to>
                <xdr:col>10</xdr:col>
                <xdr:colOff>2571750</xdr:colOff>
                <xdr:row>0</xdr:row>
                <xdr:rowOff>476250</xdr:rowOff>
              </to>
            </anchor>
          </controlPr>
        </control>
      </mc:Choice>
      <mc:Fallback>
        <control shapeId="1080" r:id="rId12" name="cmdDeletPowerloss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8802EC2F-81A9-4A53-98C6-AED9F4A7A796}">
            <xm:f>calc!$P$51&gt;11.5</xm:f>
            <x14:dxf>
              <fill>
                <patternFill>
                  <bgColor rgb="FFFF0000"/>
                </patternFill>
              </fill>
            </x14:dxf>
          </x14:cfRule>
          <xm:sqref>G12:H12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>
          <x14:formula1>
            <xm:f>calc!$A$3:$C$3</xm:f>
          </x14:formula1>
          <xm:sqref>B3</xm:sqref>
        </x14:dataValidation>
        <x14:dataValidation type="list" showInputMessage="1" showErrorMessage="1">
          <x14:formula1>
            <xm:f>calc!$A$8:$C$8</xm:f>
          </x14:formula1>
          <xm:sqref>B11</xm:sqref>
        </x14:dataValidation>
        <x14:dataValidation type="list" showInputMessage="1" showErrorMessage="1">
          <x14:formula1>
            <xm:f>calc!$E$13:$G$13</xm:f>
          </x14:formula1>
          <xm:sqref>B34</xm:sqref>
        </x14:dataValidation>
        <x14:dataValidation type="list" showInputMessage="1" showErrorMessage="1">
          <x14:formula1>
            <xm:f>calc!$A$15:$A$16</xm:f>
          </x14:formula1>
          <xm:sqref>A38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55"/>
  <sheetViews>
    <sheetView tabSelected="1" topLeftCell="S1" zoomScaleNormal="100" workbookViewId="0">
      <selection activeCell="L13" sqref="L13:X13"/>
    </sheetView>
  </sheetViews>
  <sheetFormatPr defaultRowHeight="15" x14ac:dyDescent="0.25"/>
  <cols>
    <col min="1" max="2" width="22.42578125" bestFit="1" customWidth="1"/>
    <col min="3" max="3" width="16.85546875" bestFit="1" customWidth="1"/>
    <col min="5" max="5" width="22.42578125" bestFit="1" customWidth="1"/>
    <col min="6" max="6" width="13.28515625" customWidth="1"/>
    <col min="10" max="10" width="9.42578125" customWidth="1"/>
    <col min="12" max="24" width="28.85546875" bestFit="1" customWidth="1"/>
    <col min="26" max="26" width="13.28515625" bestFit="1" customWidth="1"/>
    <col min="28" max="28" width="32" bestFit="1" customWidth="1"/>
    <col min="29" max="29" width="33.7109375" customWidth="1"/>
    <col min="31" max="31" width="10.85546875" bestFit="1" customWidth="1"/>
    <col min="33" max="33" width="12.140625" bestFit="1" customWidth="1"/>
    <col min="34" max="34" width="15.28515625" bestFit="1" customWidth="1"/>
  </cols>
  <sheetData>
    <row r="1" spans="1:35" x14ac:dyDescent="0.25">
      <c r="J1" s="6" t="s">
        <v>133</v>
      </c>
      <c r="K1" s="2">
        <f>INDEX(K3:K10,MATCH(Main!B13,calc!E3:E10,0))</f>
        <v>1</v>
      </c>
      <c r="M1" s="23"/>
      <c r="N1" s="24" t="s">
        <v>130</v>
      </c>
      <c r="O1" s="24" t="s">
        <v>131</v>
      </c>
      <c r="P1" s="25" t="s">
        <v>129</v>
      </c>
      <c r="Q1" s="23"/>
      <c r="R1" s="24" t="s">
        <v>130</v>
      </c>
      <c r="S1" s="24" t="s">
        <v>131</v>
      </c>
      <c r="T1" s="25" t="s">
        <v>129</v>
      </c>
    </row>
    <row r="2" spans="1:35" x14ac:dyDescent="0.25">
      <c r="A2" t="s">
        <v>2</v>
      </c>
      <c r="E2" s="2"/>
      <c r="F2" s="3" t="s">
        <v>29</v>
      </c>
      <c r="G2" s="3" t="s">
        <v>30</v>
      </c>
      <c r="H2" s="3" t="s">
        <v>31</v>
      </c>
      <c r="I2" s="3" t="s">
        <v>34</v>
      </c>
      <c r="J2" s="3" t="s">
        <v>35</v>
      </c>
      <c r="K2" s="7" t="s">
        <v>132</v>
      </c>
      <c r="M2" s="26" t="s">
        <v>122</v>
      </c>
      <c r="N2" s="27">
        <f>0.0459536911922546/(1  -0.987175746302811*EXP(-0.0647798482560785*calc!P51))</f>
        <v>0.10260362643003328</v>
      </c>
      <c r="O2" s="27">
        <f>(INDEX(L14:X14,L12)+INDEX(L15:X15,L12)*Main!B7)/(1 + INDEX(calc!L16:X16,calc!L12)*Main!B7 +INDEX( calc!L17:X17,calc!L12)*(Main!B7)^2)*(0.33/0.38)+0.05</f>
        <v>0.22492850068588571</v>
      </c>
      <c r="P2" s="36">
        <f>70.2496526710266*(1+1.35363728862232*calc!P51/0.00227234009400175)^(-1/1.35363728862232)</f>
        <v>0.12378123795408041</v>
      </c>
      <c r="Q2" s="40"/>
      <c r="R2" s="29"/>
      <c r="S2" s="29"/>
      <c r="T2" s="30"/>
      <c r="Z2" s="1" t="s">
        <v>77</v>
      </c>
      <c r="AA2" s="1" t="s">
        <v>52</v>
      </c>
      <c r="AB2" s="1" t="s">
        <v>57</v>
      </c>
      <c r="AC2" s="1" t="s">
        <v>86</v>
      </c>
      <c r="AD2" s="1" t="s">
        <v>88</v>
      </c>
      <c r="AE2" s="1" t="s">
        <v>4</v>
      </c>
      <c r="AG2" s="1" t="s">
        <v>77</v>
      </c>
      <c r="AH2" s="1" t="s">
        <v>55</v>
      </c>
      <c r="AI2" s="1" t="s">
        <v>158</v>
      </c>
    </row>
    <row r="3" spans="1:35" x14ac:dyDescent="0.25">
      <c r="A3" s="3" t="s">
        <v>7</v>
      </c>
      <c r="B3" s="3" t="s">
        <v>8</v>
      </c>
      <c r="C3" s="3" t="s">
        <v>9</v>
      </c>
      <c r="E3" s="3" t="s">
        <v>12</v>
      </c>
      <c r="F3" s="2" t="s">
        <v>32</v>
      </c>
      <c r="G3" s="2" t="s">
        <v>32</v>
      </c>
      <c r="H3" s="2" t="s">
        <v>32</v>
      </c>
      <c r="I3" s="2" t="s">
        <v>32</v>
      </c>
      <c r="J3" s="2" t="s">
        <v>32</v>
      </c>
      <c r="K3" s="2">
        <v>1</v>
      </c>
      <c r="M3" s="28" t="s">
        <v>123</v>
      </c>
      <c r="N3" s="29">
        <f>IF(Main!B20=0,1,IF(Main!B20=1,1.05,IF(Main!B20=2,1.15,IF(Main!B20=3,1.3,1.3))))</f>
        <v>1</v>
      </c>
      <c r="O3" s="29">
        <f>IF(Main!B20=0,1,IF(Main!B20=1,1.05,IF(Main!B20=2,1.1,IF(Main!B20=3,1.15,1.15))))</f>
        <v>1</v>
      </c>
      <c r="P3" s="30">
        <v>1</v>
      </c>
      <c r="Q3" s="28"/>
      <c r="R3" s="29"/>
      <c r="S3" s="29"/>
      <c r="T3" s="30"/>
      <c r="Z3" t="s">
        <v>85</v>
      </c>
      <c r="AA3" t="s">
        <v>73</v>
      </c>
      <c r="AB3" t="s">
        <v>89</v>
      </c>
      <c r="AC3" t="s">
        <v>87</v>
      </c>
      <c r="AD3">
        <v>16</v>
      </c>
      <c r="AE3">
        <v>4.5</v>
      </c>
      <c r="AG3" t="s">
        <v>157</v>
      </c>
      <c r="AH3" t="s">
        <v>162</v>
      </c>
      <c r="AI3">
        <v>35.4</v>
      </c>
    </row>
    <row r="4" spans="1:35" x14ac:dyDescent="0.25">
      <c r="A4" s="2" t="s">
        <v>3</v>
      </c>
      <c r="B4" s="2" t="s">
        <v>3</v>
      </c>
      <c r="C4" s="2" t="s">
        <v>3</v>
      </c>
      <c r="E4" s="3" t="s">
        <v>28</v>
      </c>
      <c r="F4" s="2" t="s">
        <v>32</v>
      </c>
      <c r="G4" s="2" t="s">
        <v>32</v>
      </c>
      <c r="H4" s="2" t="s">
        <v>33</v>
      </c>
      <c r="I4" s="2" t="s">
        <v>32</v>
      </c>
      <c r="J4" s="2" t="s">
        <v>32</v>
      </c>
      <c r="K4" s="2">
        <v>3</v>
      </c>
      <c r="M4" s="28" t="s">
        <v>124</v>
      </c>
      <c r="N4" s="80">
        <f>INDEX(L21:P21,K1)*EXP(-EXP(INDEX(L22:P22,K1)-INDEX(L23:P23,K1)*K19))*(0.6/1.6)+1</f>
        <v>1.3672441786583911</v>
      </c>
      <c r="O4" s="31">
        <f>(INDEX(L27:U27,L25)+INDEX(L28:U28,L25)*Main!B7)/(1 + INDEX(calc!L29:U29,calc!L25)*Main!B7 + INDEX(calc!L30:U30,calc!L25)*(Main!B7^2))</f>
        <v>1.31</v>
      </c>
      <c r="P4" s="37">
        <f>1.25746564411252/(1 + EXP(3.0499379294743-2.85423150337704*K32))^(1/13.3533620666701)</f>
        <v>1.2315205269785958</v>
      </c>
      <c r="Q4" s="28"/>
      <c r="R4" s="29"/>
      <c r="S4" s="29"/>
      <c r="T4" s="30"/>
      <c r="Z4" t="s">
        <v>85</v>
      </c>
      <c r="AA4" t="s">
        <v>73</v>
      </c>
      <c r="AB4" t="s">
        <v>89</v>
      </c>
      <c r="AC4" t="s">
        <v>90</v>
      </c>
      <c r="AD4">
        <v>63</v>
      </c>
      <c r="AE4">
        <v>12.9</v>
      </c>
      <c r="AG4" t="s">
        <v>157</v>
      </c>
      <c r="AH4" s="49" t="s">
        <v>163</v>
      </c>
      <c r="AI4">
        <v>35.4</v>
      </c>
    </row>
    <row r="5" spans="1:35" x14ac:dyDescent="0.25">
      <c r="A5" s="2" t="s">
        <v>4</v>
      </c>
      <c r="B5" s="2" t="s">
        <v>4</v>
      </c>
      <c r="C5" s="2" t="s">
        <v>4</v>
      </c>
      <c r="E5" s="3" t="s">
        <v>17</v>
      </c>
      <c r="F5" s="2" t="s">
        <v>32</v>
      </c>
      <c r="G5" s="2" t="s">
        <v>32</v>
      </c>
      <c r="H5" s="2" t="s">
        <v>32</v>
      </c>
      <c r="I5" s="2" t="s">
        <v>33</v>
      </c>
      <c r="J5" s="2" t="s">
        <v>32</v>
      </c>
      <c r="K5" s="2">
        <v>2</v>
      </c>
      <c r="M5" s="28" t="s">
        <v>125</v>
      </c>
      <c r="N5" s="29">
        <v>0.80400000000000005</v>
      </c>
      <c r="O5" s="29">
        <v>0.71499999999999997</v>
      </c>
      <c r="P5" s="30">
        <v>0.80400000000000005</v>
      </c>
      <c r="Q5" s="28"/>
      <c r="R5" s="29"/>
      <c r="S5" s="29"/>
      <c r="T5" s="30"/>
      <c r="AG5" t="s">
        <v>157</v>
      </c>
      <c r="AH5" s="49" t="s">
        <v>164</v>
      </c>
      <c r="AI5">
        <v>40.799999999999997</v>
      </c>
    </row>
    <row r="6" spans="1:35" x14ac:dyDescent="0.25">
      <c r="A6" s="2"/>
      <c r="B6" s="2" t="s">
        <v>5</v>
      </c>
      <c r="C6" s="2" t="s">
        <v>6</v>
      </c>
      <c r="E6" s="3" t="s">
        <v>19</v>
      </c>
      <c r="F6" s="2" t="s">
        <v>32</v>
      </c>
      <c r="G6" s="2" t="s">
        <v>32</v>
      </c>
      <c r="H6" s="2" t="s">
        <v>33</v>
      </c>
      <c r="I6" s="2" t="s">
        <v>33</v>
      </c>
      <c r="J6" s="2" t="s">
        <v>32</v>
      </c>
      <c r="K6" s="2">
        <v>4</v>
      </c>
      <c r="M6" s="32">
        <f>Main!E11</f>
        <v>284.85982149122805</v>
      </c>
      <c r="N6" s="29"/>
      <c r="O6" s="29"/>
      <c r="P6" s="30"/>
      <c r="Q6" s="41" t="s">
        <v>141</v>
      </c>
      <c r="R6" s="42">
        <f>Main!E7-Main!E3</f>
        <v>5</v>
      </c>
      <c r="S6" s="29"/>
      <c r="T6" s="30"/>
      <c r="AG6" t="s">
        <v>157</v>
      </c>
      <c r="AH6" t="s">
        <v>165</v>
      </c>
      <c r="AI6">
        <v>40.799999999999997</v>
      </c>
    </row>
    <row r="7" spans="1:35" x14ac:dyDescent="0.25">
      <c r="E7" s="3" t="s">
        <v>20</v>
      </c>
      <c r="F7" s="2" t="s">
        <v>32</v>
      </c>
      <c r="G7" s="2" t="s">
        <v>32</v>
      </c>
      <c r="H7" s="2" t="s">
        <v>32</v>
      </c>
      <c r="I7" s="2" t="s">
        <v>33</v>
      </c>
      <c r="J7" s="2" t="s">
        <v>33</v>
      </c>
      <c r="K7" s="2">
        <v>3</v>
      </c>
      <c r="M7" s="33" t="s">
        <v>140</v>
      </c>
      <c r="N7" s="5">
        <f>N2*N3*($M$6^N5)</f>
        <v>9.6535309613245222</v>
      </c>
      <c r="O7" s="5">
        <f>O2*O3*($M$6^O5)</f>
        <v>12.796930013467595</v>
      </c>
      <c r="P7" s="38">
        <f>P2*P3*($M$6^P5)</f>
        <v>11.646040735564338</v>
      </c>
      <c r="Q7" s="43" t="s">
        <v>140</v>
      </c>
      <c r="R7" s="5">
        <f>$R$6/N4</f>
        <v>3.6569912514868061</v>
      </c>
      <c r="S7" s="5">
        <f>$R$6/O4</f>
        <v>3.8167938931297707</v>
      </c>
      <c r="T7" s="38">
        <f>$R$6/P4</f>
        <v>4.0600216484145548</v>
      </c>
      <c r="AG7" t="s">
        <v>157</v>
      </c>
      <c r="AH7" t="s">
        <v>166</v>
      </c>
      <c r="AI7">
        <v>42</v>
      </c>
    </row>
    <row r="8" spans="1:35" ht="15.75" thickBot="1" x14ac:dyDescent="0.3">
      <c r="A8" s="3" t="s">
        <v>15</v>
      </c>
      <c r="B8" s="3" t="s">
        <v>16</v>
      </c>
      <c r="C8" s="3" t="s">
        <v>14</v>
      </c>
      <c r="E8" s="3" t="s">
        <v>21</v>
      </c>
      <c r="F8" s="2" t="s">
        <v>32</v>
      </c>
      <c r="G8" s="2" t="s">
        <v>32</v>
      </c>
      <c r="H8" s="2" t="s">
        <v>33</v>
      </c>
      <c r="I8" s="2" t="s">
        <v>33</v>
      </c>
      <c r="J8" s="2" t="s">
        <v>33</v>
      </c>
      <c r="K8" s="2">
        <v>5</v>
      </c>
      <c r="M8" s="34" t="s">
        <v>141</v>
      </c>
      <c r="N8" s="81">
        <f>N4*N7</f>
        <v>13.198734010369495</v>
      </c>
      <c r="O8" s="35">
        <f>O7*O4</f>
        <v>16.76397831764255</v>
      </c>
      <c r="P8" s="39">
        <f>P7*P4</f>
        <v>14.342338223876387</v>
      </c>
      <c r="Q8" s="44" t="s">
        <v>145</v>
      </c>
      <c r="R8" s="35">
        <f>(R7/(N2*N3))^(1/N5)</f>
        <v>85.172621251799654</v>
      </c>
      <c r="S8" s="35">
        <f>(S7/(O2*O3))^(1/O5)</f>
        <v>52.456113738810053</v>
      </c>
      <c r="T8" s="35">
        <f>(T7/(P2*P3))^(1/P5)</f>
        <v>76.809481804502923</v>
      </c>
      <c r="AG8" t="s">
        <v>157</v>
      </c>
      <c r="AH8" t="s">
        <v>167</v>
      </c>
      <c r="AI8">
        <v>42</v>
      </c>
    </row>
    <row r="9" spans="1:35" x14ac:dyDescent="0.25">
      <c r="A9" s="2" t="s">
        <v>12</v>
      </c>
      <c r="B9" s="2" t="s">
        <v>17</v>
      </c>
      <c r="C9" s="2" t="s">
        <v>18</v>
      </c>
      <c r="E9" s="3" t="s">
        <v>18</v>
      </c>
      <c r="F9" s="2" t="s">
        <v>32</v>
      </c>
      <c r="G9" s="2" t="s">
        <v>32</v>
      </c>
      <c r="H9" s="2" t="s">
        <v>33</v>
      </c>
      <c r="I9" s="2" t="s">
        <v>32</v>
      </c>
      <c r="J9" s="2" t="s">
        <v>32</v>
      </c>
      <c r="K9" s="2">
        <v>3</v>
      </c>
      <c r="M9" s="21" t="s">
        <v>144</v>
      </c>
      <c r="Q9" s="22" t="s">
        <v>146</v>
      </c>
      <c r="AG9" t="s">
        <v>157</v>
      </c>
      <c r="AH9" t="s">
        <v>168</v>
      </c>
      <c r="AI9">
        <v>78</v>
      </c>
    </row>
    <row r="10" spans="1:35" x14ac:dyDescent="0.25">
      <c r="A10" s="2" t="s">
        <v>28</v>
      </c>
      <c r="B10" s="2" t="s">
        <v>19</v>
      </c>
      <c r="C10" s="2" t="s">
        <v>22</v>
      </c>
      <c r="E10" s="3" t="s">
        <v>22</v>
      </c>
      <c r="F10" s="2" t="s">
        <v>33</v>
      </c>
      <c r="G10" s="2" t="s">
        <v>32</v>
      </c>
      <c r="H10" s="2" t="s">
        <v>33</v>
      </c>
      <c r="I10" s="2" t="s">
        <v>33</v>
      </c>
      <c r="J10" s="2" t="s">
        <v>33</v>
      </c>
      <c r="K10" s="2">
        <v>4</v>
      </c>
      <c r="AG10" t="s">
        <v>157</v>
      </c>
      <c r="AH10" t="s">
        <v>169</v>
      </c>
      <c r="AI10">
        <v>78</v>
      </c>
    </row>
    <row r="11" spans="1:35" x14ac:dyDescent="0.25">
      <c r="A11" s="2"/>
      <c r="B11" s="2" t="s">
        <v>20</v>
      </c>
      <c r="C11" s="2"/>
      <c r="L11" t="s">
        <v>127</v>
      </c>
      <c r="N11">
        <f>ABS(L13:X13-K12)</f>
        <v>6.9699999999999989</v>
      </c>
      <c r="AG11" t="s">
        <v>157</v>
      </c>
      <c r="AH11" t="s">
        <v>172</v>
      </c>
      <c r="AI11">
        <v>105</v>
      </c>
    </row>
    <row r="12" spans="1:35" x14ac:dyDescent="0.25">
      <c r="A12" s="2"/>
      <c r="B12" s="2" t="s">
        <v>21</v>
      </c>
      <c r="C12" s="2"/>
      <c r="J12" t="s">
        <v>134</v>
      </c>
      <c r="K12" s="18">
        <f>calc!P51</f>
        <v>8.9699999999999989</v>
      </c>
      <c r="L12" s="2">
        <f t="array" ref="L12">MATCH(MIN(ABS(L13:X13-K12)),ABS(L13:X13-K12),0)</f>
        <v>10</v>
      </c>
      <c r="AG12" t="s">
        <v>157</v>
      </c>
      <c r="AH12" t="s">
        <v>171</v>
      </c>
      <c r="AI12">
        <v>105</v>
      </c>
    </row>
    <row r="13" spans="1:35" x14ac:dyDescent="0.25">
      <c r="E13" s="3" t="s">
        <v>78</v>
      </c>
      <c r="F13" s="3" t="s">
        <v>79</v>
      </c>
      <c r="G13" s="3" t="s">
        <v>80</v>
      </c>
      <c r="K13" t="s">
        <v>126</v>
      </c>
      <c r="L13">
        <v>1</v>
      </c>
      <c r="M13">
        <v>1.5</v>
      </c>
      <c r="N13">
        <v>2</v>
      </c>
      <c r="O13">
        <v>2.5</v>
      </c>
      <c r="P13">
        <v>3</v>
      </c>
      <c r="Q13">
        <v>4</v>
      </c>
      <c r="R13">
        <v>5</v>
      </c>
      <c r="S13">
        <v>6</v>
      </c>
      <c r="T13">
        <v>7</v>
      </c>
      <c r="U13">
        <v>8</v>
      </c>
      <c r="V13">
        <v>10</v>
      </c>
      <c r="W13">
        <v>12</v>
      </c>
      <c r="X13">
        <v>14</v>
      </c>
      <c r="AG13" t="s">
        <v>157</v>
      </c>
      <c r="AH13" t="s">
        <v>170</v>
      </c>
      <c r="AI13">
        <v>189</v>
      </c>
    </row>
    <row r="14" spans="1:35" x14ac:dyDescent="0.25">
      <c r="A14" s="3" t="s">
        <v>161</v>
      </c>
      <c r="E14" s="2" t="s">
        <v>73</v>
      </c>
      <c r="F14" s="2" t="s">
        <v>81</v>
      </c>
      <c r="G14" s="2" t="s">
        <v>76</v>
      </c>
      <c r="K14" t="s">
        <v>128</v>
      </c>
      <c r="L14" s="85">
        <v>0.4709155113008</v>
      </c>
      <c r="M14" s="85">
        <v>0.42578271643235799</v>
      </c>
      <c r="N14" s="85">
        <v>0.37829576210395</v>
      </c>
      <c r="O14" s="85">
        <v>0.35059531169307701</v>
      </c>
      <c r="P14" s="85">
        <v>0.323174016602576</v>
      </c>
      <c r="Q14" s="85">
        <v>0.29092262460784102</v>
      </c>
      <c r="R14" s="85">
        <v>0.26011744889404298</v>
      </c>
      <c r="S14" s="85">
        <v>0.240139182233822</v>
      </c>
      <c r="T14" s="85">
        <v>0.21907368551863099</v>
      </c>
      <c r="U14" s="85">
        <v>0.20143281897162599</v>
      </c>
      <c r="V14" s="85">
        <v>0.17347069514715999</v>
      </c>
      <c r="W14" s="85">
        <v>0.146222391627852</v>
      </c>
      <c r="X14" s="85">
        <v>0.123726135507066</v>
      </c>
      <c r="AG14" t="s">
        <v>157</v>
      </c>
      <c r="AH14" t="s">
        <v>173</v>
      </c>
      <c r="AI14">
        <v>189</v>
      </c>
    </row>
    <row r="15" spans="1:35" x14ac:dyDescent="0.25">
      <c r="A15" s="2" t="s">
        <v>157</v>
      </c>
      <c r="E15" s="2" t="s">
        <v>74</v>
      </c>
      <c r="F15" s="2" t="s">
        <v>84</v>
      </c>
      <c r="G15" s="2" t="s">
        <v>82</v>
      </c>
      <c r="K15" t="s">
        <v>43</v>
      </c>
      <c r="L15" s="85">
        <v>-3.8301919075229402E-4</v>
      </c>
      <c r="M15" s="85">
        <v>-3.5941029420211498E-4</v>
      </c>
      <c r="N15" s="85">
        <v>-3.4025187812600899E-4</v>
      </c>
      <c r="O15" s="85">
        <v>-2.95688022480576E-4</v>
      </c>
      <c r="P15" s="85">
        <v>-2.81402417663993E-4</v>
      </c>
      <c r="Q15" s="85">
        <v>-2.5966938885320498E-4</v>
      </c>
      <c r="R15" s="85">
        <v>-2.2206483528250699E-4</v>
      </c>
      <c r="S15" s="85">
        <v>-2.2249010228530901E-4</v>
      </c>
      <c r="T15" s="85">
        <v>-1.9235220464129899E-4</v>
      </c>
      <c r="U15" s="85">
        <v>-1.7096880896183E-4</v>
      </c>
      <c r="V15" s="85">
        <v>-1.11141616585355E-4</v>
      </c>
      <c r="W15" s="85">
        <v>-1.0722019034465601E-4</v>
      </c>
      <c r="X15" s="85">
        <v>-1.0960483590378401E-4</v>
      </c>
      <c r="AG15" t="s">
        <v>157</v>
      </c>
      <c r="AH15" t="s">
        <v>175</v>
      </c>
      <c r="AI15">
        <v>484</v>
      </c>
    </row>
    <row r="16" spans="1:35" x14ac:dyDescent="0.25">
      <c r="A16" s="2" t="s">
        <v>78</v>
      </c>
      <c r="E16" s="2" t="s">
        <v>75</v>
      </c>
      <c r="F16" s="2"/>
      <c r="G16" s="2"/>
      <c r="K16" t="s">
        <v>124</v>
      </c>
      <c r="L16" s="85">
        <v>5.4640462193205801E-3</v>
      </c>
      <c r="M16" s="85">
        <v>5.5793244185667898E-3</v>
      </c>
      <c r="N16" s="85">
        <v>5.2625048523200404E-3</v>
      </c>
      <c r="O16" s="85">
        <v>5.2803442927133503E-3</v>
      </c>
      <c r="P16" s="85">
        <v>5.2766021425573297E-3</v>
      </c>
      <c r="Q16" s="85">
        <v>5.3124393459637199E-3</v>
      </c>
      <c r="R16" s="85">
        <v>5.1950454916009801E-3</v>
      </c>
      <c r="S16" s="85">
        <v>5.5100563224737302E-3</v>
      </c>
      <c r="T16" s="85">
        <v>5.3118389829225699E-3</v>
      </c>
      <c r="U16" s="85">
        <v>5.5165000598672497E-3</v>
      </c>
      <c r="V16" s="85">
        <v>5.34866001557599E-3</v>
      </c>
      <c r="W16" s="85">
        <v>4.8480736612526304E-3</v>
      </c>
      <c r="X16" s="85">
        <v>4.1928643893368303E-3</v>
      </c>
    </row>
    <row r="17" spans="1:28" x14ac:dyDescent="0.25">
      <c r="A17" s="2"/>
      <c r="E17" s="2" t="s">
        <v>83</v>
      </c>
      <c r="F17" s="2"/>
      <c r="G17" s="2"/>
      <c r="K17" t="s">
        <v>123</v>
      </c>
      <c r="L17" s="85">
        <v>-2.5664176144937902E-7</v>
      </c>
      <c r="M17" s="85">
        <v>-7.9719343011875101E-7</v>
      </c>
      <c r="N17" s="85">
        <v>-1.2171831789238501E-6</v>
      </c>
      <c r="O17" s="85">
        <v>-4.1769507660281098E-7</v>
      </c>
      <c r="P17" s="85">
        <v>-7.9865326270214198E-7</v>
      </c>
      <c r="Q17" s="85">
        <v>-1.27714466847515E-6</v>
      </c>
      <c r="R17" s="85">
        <v>-7.7117000985704495E-7</v>
      </c>
      <c r="S17" s="85">
        <v>-2.1385688015536698E-6</v>
      </c>
      <c r="T17" s="85">
        <v>-9.3391929386103701E-7</v>
      </c>
      <c r="U17" s="85">
        <v>-4.6067519505801398E-7</v>
      </c>
      <c r="V17" s="85">
        <v>3.0078373887601099E-6</v>
      </c>
      <c r="W17" s="85">
        <v>1.96270759315801E-6</v>
      </c>
      <c r="X17" s="85">
        <v>1.12690870500046E-6</v>
      </c>
    </row>
    <row r="18" spans="1:28" x14ac:dyDescent="0.25">
      <c r="A18" s="2"/>
      <c r="E18" s="2" t="s">
        <v>81</v>
      </c>
      <c r="F18" s="2"/>
      <c r="G18" s="2"/>
    </row>
    <row r="19" spans="1:28" x14ac:dyDescent="0.25">
      <c r="A19" s="2"/>
      <c r="E19" s="10" t="s">
        <v>106</v>
      </c>
      <c r="F19" s="2"/>
      <c r="G19" s="2"/>
      <c r="J19" t="s">
        <v>135</v>
      </c>
      <c r="K19" s="19">
        <f>((Main!B16/1000)^(1.35))/calc!N46</f>
        <v>3.8655327376965309</v>
      </c>
      <c r="AB19" s="78">
        <f>-EXP(INDEX(L22:P22,K1)-INDEX(L23:P23,K1)*K19)</f>
        <v>-0.61422590748822736</v>
      </c>
    </row>
    <row r="20" spans="1:28" x14ac:dyDescent="0.25">
      <c r="A20" s="29"/>
      <c r="B20" s="29"/>
      <c r="C20" s="29"/>
      <c r="D20" s="29"/>
      <c r="E20" s="29"/>
      <c r="F20" s="29"/>
      <c r="G20" s="29"/>
      <c r="K20" t="s">
        <v>137</v>
      </c>
      <c r="L20" s="17">
        <v>1</v>
      </c>
      <c r="M20" s="17">
        <v>2</v>
      </c>
      <c r="N20" s="17">
        <v>3</v>
      </c>
      <c r="O20" s="17">
        <v>4</v>
      </c>
      <c r="P20" s="17">
        <v>5</v>
      </c>
      <c r="AB20">
        <f>((Main!B16/1000)^(1.35))/calc!N46</f>
        <v>3.8655327376965309</v>
      </c>
    </row>
    <row r="21" spans="1:28" x14ac:dyDescent="0.25">
      <c r="A21" s="29"/>
      <c r="B21" s="29"/>
      <c r="C21" s="29"/>
      <c r="D21" s="29"/>
      <c r="K21" t="s">
        <v>128</v>
      </c>
      <c r="L21" s="79">
        <v>1.81</v>
      </c>
      <c r="M21" s="79">
        <v>1.77</v>
      </c>
      <c r="N21" s="79">
        <v>1.72</v>
      </c>
      <c r="O21" s="79">
        <v>1.62</v>
      </c>
      <c r="P21" s="79">
        <v>1.52</v>
      </c>
      <c r="Q21" s="13"/>
      <c r="AB21" s="79">
        <f>INDEX(L22:P22,K1)-INDEX(L23:P23,K1)</f>
        <v>3.7000000000000005E-2</v>
      </c>
    </row>
    <row r="22" spans="1:28" x14ac:dyDescent="0.25">
      <c r="A22" s="1" t="s">
        <v>93</v>
      </c>
      <c r="B22" s="1" t="s">
        <v>94</v>
      </c>
      <c r="C22" s="1" t="s">
        <v>95</v>
      </c>
      <c r="D22" s="1" t="s">
        <v>96</v>
      </c>
      <c r="E22" s="1" t="s">
        <v>97</v>
      </c>
      <c r="F22" s="1" t="s">
        <v>109</v>
      </c>
      <c r="G22" s="1"/>
      <c r="K22" t="s">
        <v>43</v>
      </c>
      <c r="L22" s="79">
        <v>0.22</v>
      </c>
      <c r="M22" s="79">
        <v>0.26800000000000002</v>
      </c>
      <c r="N22" s="79">
        <v>0.316</v>
      </c>
      <c r="O22" s="79">
        <v>0.375</v>
      </c>
      <c r="P22" s="79">
        <v>0.52600000000000002</v>
      </c>
      <c r="Q22" s="13"/>
    </row>
    <row r="23" spans="1:28" x14ac:dyDescent="0.25">
      <c r="A23" t="s">
        <v>89</v>
      </c>
      <c r="B23" t="s">
        <v>99</v>
      </c>
      <c r="C23" t="s">
        <v>107</v>
      </c>
      <c r="K23" t="s">
        <v>124</v>
      </c>
      <c r="L23" s="79">
        <v>0.183</v>
      </c>
      <c r="M23" s="79">
        <v>0.185</v>
      </c>
      <c r="N23" s="79">
        <v>0.191</v>
      </c>
      <c r="O23" s="79">
        <v>0.20300000000000001</v>
      </c>
      <c r="P23" s="79">
        <v>0.21</v>
      </c>
      <c r="Q23" s="13"/>
    </row>
    <row r="24" spans="1:28" x14ac:dyDescent="0.25">
      <c r="A24" t="s">
        <v>91</v>
      </c>
      <c r="B24" t="s">
        <v>102</v>
      </c>
      <c r="C24" t="s">
        <v>108</v>
      </c>
      <c r="L24" s="13"/>
      <c r="M24" s="13"/>
      <c r="N24" s="13"/>
      <c r="O24" s="13"/>
      <c r="P24" s="13"/>
      <c r="Q24" s="13"/>
    </row>
    <row r="25" spans="1:28" x14ac:dyDescent="0.25">
      <c r="B25" t="s">
        <v>105</v>
      </c>
      <c r="J25" t="s">
        <v>135</v>
      </c>
      <c r="K25" s="19">
        <f>K19</f>
        <v>3.8655327376965309</v>
      </c>
      <c r="L25" s="2">
        <f t="array" ref="L25">MATCH(MIN(ABS(L26:U26-K25)),ABS(L26:U26-K25),0)</f>
        <v>4</v>
      </c>
    </row>
    <row r="26" spans="1:28" x14ac:dyDescent="0.25">
      <c r="A26" s="29"/>
      <c r="B26" s="29"/>
      <c r="C26" s="29"/>
      <c r="D26" s="29"/>
      <c r="K26" t="s">
        <v>138</v>
      </c>
      <c r="L26" s="17">
        <v>1.5</v>
      </c>
      <c r="M26" s="17">
        <v>2</v>
      </c>
      <c r="N26" s="17">
        <v>3</v>
      </c>
      <c r="O26" s="17">
        <v>4</v>
      </c>
      <c r="P26" s="17">
        <v>5</v>
      </c>
      <c r="Q26" s="17">
        <v>6</v>
      </c>
      <c r="R26" s="17">
        <v>7</v>
      </c>
      <c r="S26" s="17">
        <v>8</v>
      </c>
      <c r="T26" s="17">
        <v>9</v>
      </c>
      <c r="U26" s="17">
        <v>10</v>
      </c>
    </row>
    <row r="27" spans="1:28" x14ac:dyDescent="0.25">
      <c r="A27" s="29"/>
      <c r="B27" s="29"/>
      <c r="C27" s="29"/>
      <c r="D27" s="29"/>
      <c r="K27" t="s">
        <v>128</v>
      </c>
      <c r="L27" s="16">
        <v>1.1200000000000001</v>
      </c>
      <c r="M27" s="16">
        <v>1.17</v>
      </c>
      <c r="N27" s="16">
        <v>1.31</v>
      </c>
      <c r="O27" s="16">
        <v>1.31</v>
      </c>
      <c r="P27" s="16">
        <v>1.36</v>
      </c>
      <c r="Q27" s="16">
        <v>1.4</v>
      </c>
      <c r="R27" s="16">
        <v>1.45</v>
      </c>
      <c r="S27" s="16">
        <v>1.5</v>
      </c>
      <c r="T27" s="16">
        <v>1.55</v>
      </c>
      <c r="U27" s="16">
        <v>1.6</v>
      </c>
    </row>
    <row r="28" spans="1:28" x14ac:dyDescent="0.25">
      <c r="A28" s="29"/>
      <c r="B28" s="29"/>
      <c r="C28" s="29"/>
      <c r="D28" s="29"/>
      <c r="K28" t="s">
        <v>43</v>
      </c>
      <c r="L28" s="16">
        <v>1.0999999999999999E-2</v>
      </c>
      <c r="M28" s="16">
        <v>1.23E-2</v>
      </c>
      <c r="N28" s="16">
        <v>1.77E-2</v>
      </c>
      <c r="O28" s="16">
        <v>1.77E-2</v>
      </c>
      <c r="P28" s="16">
        <v>2.1600000000000001E-2</v>
      </c>
      <c r="Q28" s="16">
        <v>2.6499999999999999E-2</v>
      </c>
      <c r="R28" s="16">
        <v>2.7699999999999999E-2</v>
      </c>
      <c r="S28" s="16">
        <v>3.0700000000000002E-2</v>
      </c>
      <c r="T28" s="16">
        <v>3.3099999999999997E-2</v>
      </c>
      <c r="U28" s="16">
        <v>3.6600000000000001E-2</v>
      </c>
    </row>
    <row r="29" spans="1:28" x14ac:dyDescent="0.25">
      <c r="A29" s="29"/>
      <c r="B29" s="29"/>
      <c r="C29" s="29"/>
      <c r="D29" s="29"/>
      <c r="K29" t="s">
        <v>124</v>
      </c>
      <c r="L29" s="16">
        <v>5.6299999999999996E-3</v>
      </c>
      <c r="M29" s="16">
        <v>6.3499999999999997E-3</v>
      </c>
      <c r="N29" s="16">
        <v>8.9999999999999993E-3</v>
      </c>
      <c r="O29" s="16">
        <v>8.9999999999999993E-3</v>
      </c>
      <c r="P29" s="16">
        <v>1.09E-2</v>
      </c>
      <c r="Q29" s="16">
        <v>1.3299999999999999E-2</v>
      </c>
      <c r="R29" s="16">
        <v>1.3599999999999999E-2</v>
      </c>
      <c r="S29" s="16">
        <v>1.49E-2</v>
      </c>
      <c r="T29" s="16">
        <v>1.5900000000000001E-2</v>
      </c>
      <c r="U29" s="16">
        <v>1.7500000000000002E-2</v>
      </c>
    </row>
    <row r="30" spans="1:28" x14ac:dyDescent="0.25">
      <c r="A30" s="29"/>
      <c r="B30" s="29"/>
      <c r="C30" s="29"/>
      <c r="D30" s="29"/>
      <c r="K30" t="s">
        <v>123</v>
      </c>
      <c r="L30" s="16">
        <v>-2.6E-7</v>
      </c>
      <c r="M30" s="16">
        <v>-3.9900000000000001E-7</v>
      </c>
      <c r="N30" s="16">
        <v>-6.9500000000000002E-7</v>
      </c>
      <c r="O30" s="16">
        <v>-6.9500000000000002E-7</v>
      </c>
      <c r="P30" s="16">
        <v>-9.1999999999999998E-7</v>
      </c>
      <c r="Q30" s="16">
        <v>-1.19E-6</v>
      </c>
      <c r="R30" s="16">
        <v>-1.1400000000000001E-6</v>
      </c>
      <c r="S30" s="16">
        <v>-1.17E-6</v>
      </c>
      <c r="T30" s="16">
        <v>-1.3E-6</v>
      </c>
      <c r="U30" s="16">
        <v>-1.48E-6</v>
      </c>
    </row>
    <row r="31" spans="1:28" x14ac:dyDescent="0.25">
      <c r="A31" s="29"/>
      <c r="B31" s="29"/>
      <c r="C31" s="29"/>
      <c r="D31" s="29"/>
    </row>
    <row r="32" spans="1:28" x14ac:dyDescent="0.25">
      <c r="A32" s="29"/>
      <c r="B32" s="29"/>
      <c r="C32" s="47"/>
      <c r="D32" s="48"/>
      <c r="J32" t="s">
        <v>139</v>
      </c>
      <c r="K32" s="19">
        <f>Main!B16/(Main!B17/Main!H3)</f>
        <v>1.4666666666666666</v>
      </c>
    </row>
    <row r="34" spans="10:16" x14ac:dyDescent="0.25">
      <c r="M34" t="s">
        <v>5</v>
      </c>
      <c r="N34" s="6"/>
      <c r="O34" s="13" t="s">
        <v>177</v>
      </c>
    </row>
    <row r="35" spans="10:16" x14ac:dyDescent="0.25">
      <c r="J35" t="s">
        <v>151</v>
      </c>
      <c r="K35" t="s">
        <v>152</v>
      </c>
      <c r="L35" s="45" t="s">
        <v>153</v>
      </c>
      <c r="M35" s="76">
        <f>Main!E11-IF(calc!P51&lt;1.25,calc!T8,calc!R8)</f>
        <v>199.68720023942839</v>
      </c>
      <c r="N35" s="6" t="s">
        <v>153</v>
      </c>
      <c r="O35" s="76">
        <f>M35</f>
        <v>199.68720023942839</v>
      </c>
    </row>
    <row r="36" spans="10:16" x14ac:dyDescent="0.25">
      <c r="J36">
        <v>0</v>
      </c>
      <c r="K36">
        <v>3.1</v>
      </c>
      <c r="L36" s="6" t="s">
        <v>135</v>
      </c>
      <c r="M36" s="75">
        <f>INDEX(K36:K43,MATCH(Main!B9,calc!J36:J43,0))</f>
        <v>3.1</v>
      </c>
      <c r="N36" s="45" t="s">
        <v>135</v>
      </c>
      <c r="O36" s="76">
        <f>M36</f>
        <v>3.1</v>
      </c>
    </row>
    <row r="37" spans="10:16" x14ac:dyDescent="0.25">
      <c r="J37">
        <v>500</v>
      </c>
      <c r="K37">
        <v>3.3</v>
      </c>
      <c r="L37" s="45" t="s">
        <v>154</v>
      </c>
      <c r="M37" s="75">
        <f>Main!E7-Main!E3</f>
        <v>5</v>
      </c>
      <c r="N37" s="6" t="s">
        <v>155</v>
      </c>
      <c r="O37" s="75" t="e">
        <f>Main!E18*Main!C38</f>
        <v>#VALUE!</v>
      </c>
    </row>
    <row r="38" spans="10:16" x14ac:dyDescent="0.25">
      <c r="J38">
        <v>1000</v>
      </c>
      <c r="K38">
        <v>3.5</v>
      </c>
      <c r="L38" s="45" t="s">
        <v>155</v>
      </c>
      <c r="M38" s="76">
        <f>(M36*M35)/M37</f>
        <v>123.8060641484456</v>
      </c>
      <c r="N38" s="6" t="s">
        <v>154</v>
      </c>
      <c r="O38" s="76" t="e">
        <f>(O36*O35)/O37</f>
        <v>#VALUE!</v>
      </c>
    </row>
    <row r="39" spans="10:16" x14ac:dyDescent="0.25">
      <c r="J39">
        <v>1500</v>
      </c>
      <c r="K39">
        <v>3.8</v>
      </c>
    </row>
    <row r="40" spans="10:16" x14ac:dyDescent="0.25">
      <c r="J40">
        <v>2000</v>
      </c>
      <c r="K40">
        <v>4.0999999999999996</v>
      </c>
      <c r="M40" s="33" t="s">
        <v>140</v>
      </c>
      <c r="N40" s="5">
        <f>N2*N3*($M$6^N5)</f>
        <v>9.6535309613245222</v>
      </c>
      <c r="O40" s="5">
        <f>O2*O3*($M$6^O5)</f>
        <v>12.796930013467595</v>
      </c>
      <c r="P40" s="5">
        <f>P2*P3*($M$6^P5)</f>
        <v>11.646040735564338</v>
      </c>
    </row>
    <row r="41" spans="10:16" ht="15.75" thickBot="1" x14ac:dyDescent="0.3">
      <c r="J41">
        <v>2500</v>
      </c>
      <c r="K41">
        <v>4.4000000000000004</v>
      </c>
      <c r="M41" s="34" t="s">
        <v>141</v>
      </c>
      <c r="N41" s="35">
        <f>N4*N40</f>
        <v>13.198734010369495</v>
      </c>
      <c r="O41" s="35">
        <f>O4*O40</f>
        <v>16.76397831764255</v>
      </c>
      <c r="P41" s="35">
        <f>P4*P40</f>
        <v>14.342338223876387</v>
      </c>
    </row>
    <row r="42" spans="10:16" x14ac:dyDescent="0.25">
      <c r="J42">
        <v>3000</v>
      </c>
      <c r="K42">
        <v>4.8</v>
      </c>
    </row>
    <row r="43" spans="10:16" x14ac:dyDescent="0.25">
      <c r="J43">
        <v>3500</v>
      </c>
      <c r="K43">
        <v>5.2</v>
      </c>
    </row>
    <row r="45" spans="10:16" x14ac:dyDescent="0.25">
      <c r="L45" s="29"/>
      <c r="M45" s="2" t="s">
        <v>41</v>
      </c>
      <c r="N45" s="2" t="s">
        <v>42</v>
      </c>
      <c r="O45" s="2" t="s">
        <v>43</v>
      </c>
      <c r="P45" s="2" t="s">
        <v>44</v>
      </c>
    </row>
    <row r="46" spans="10:16" x14ac:dyDescent="0.25">
      <c r="L46" s="2" t="s">
        <v>36</v>
      </c>
      <c r="M46" s="2" t="str">
        <f>INDEX(calc!$F$3:$F$10,MATCH(Main!$B$13,calc!$E$3:$E$10,0))</f>
        <v>Exposed</v>
      </c>
      <c r="N46" s="5">
        <f>((Main!B17/Main!H3)*Main!B18)/(1000*1000)</f>
        <v>0.75</v>
      </c>
      <c r="O46" s="2">
        <f>IF(M46="Exposed",1.4,0.7)</f>
        <v>1.4</v>
      </c>
      <c r="P46" s="5">
        <f>N46*O46</f>
        <v>1.0499999999999998</v>
      </c>
    </row>
    <row r="47" spans="10:16" x14ac:dyDescent="0.25">
      <c r="J47" s="29"/>
      <c r="L47" s="2" t="s">
        <v>37</v>
      </c>
      <c r="M47" s="2" t="str">
        <f>INDEX(calc!$G$3:$G$10,MATCH(Main!$B$13,calc!$E$3:$E$10,0))</f>
        <v>Exposed</v>
      </c>
      <c r="N47" s="5">
        <f>((Main!B17/Main!H3)*Main!B16)/(1000*1000)</f>
        <v>3.3</v>
      </c>
      <c r="O47" s="2">
        <f>IF(M47="Exposed",0.9,0.5)</f>
        <v>0.9</v>
      </c>
      <c r="P47" s="5">
        <f>N47*O47</f>
        <v>2.9699999999999998</v>
      </c>
    </row>
    <row r="48" spans="10:16" x14ac:dyDescent="0.25">
      <c r="J48" s="46"/>
      <c r="L48" s="2" t="s">
        <v>38</v>
      </c>
      <c r="M48" s="2" t="str">
        <f>INDEX(calc!$H$3:$H$10,MATCH(Main!$B$13,calc!$E$3:$E$10,0))</f>
        <v>Exposed</v>
      </c>
      <c r="N48" s="5">
        <f>((Main!B17/Main!H3)*Main!B16)/(1000*1000)</f>
        <v>3.3</v>
      </c>
      <c r="O48" s="2">
        <f>IF(M48="Exposed",0.9,0.5)</f>
        <v>0.9</v>
      </c>
      <c r="P48" s="5">
        <f>N48*O48</f>
        <v>2.9699999999999998</v>
      </c>
    </row>
    <row r="49" spans="10:16" x14ac:dyDescent="0.25">
      <c r="J49" s="46"/>
      <c r="L49" s="2" t="s">
        <v>39</v>
      </c>
      <c r="M49" s="2" t="str">
        <f>INDEX(calc!$I$3:$I$10,MATCH(Main!$B$13,calc!$E$3:$E$10,0))</f>
        <v>Exposed</v>
      </c>
      <c r="N49" s="5">
        <f>(Main!B18*Main!B16)/(1000*1000)</f>
        <v>1.1000000000000001</v>
      </c>
      <c r="O49" s="2">
        <f>IF(M49="Exposed",0.9,0.5)</f>
        <v>0.9</v>
      </c>
      <c r="P49" s="5">
        <f>N49*O49</f>
        <v>0.9900000000000001</v>
      </c>
    </row>
    <row r="50" spans="10:16" x14ac:dyDescent="0.25">
      <c r="J50" s="46"/>
      <c r="L50" s="2" t="s">
        <v>40</v>
      </c>
      <c r="M50" s="2" t="str">
        <f>INDEX(calc!$J$3:$J$10,MATCH(Main!$B$13,calc!$E$3:$E$10,0))</f>
        <v>Exposed</v>
      </c>
      <c r="N50" s="5">
        <f>(Main!B18*Main!B16)/(1000*1000)</f>
        <v>1.1000000000000001</v>
      </c>
      <c r="O50" s="2">
        <f>IF(M50="Exposed",0.9,0.5)</f>
        <v>0.9</v>
      </c>
      <c r="P50" s="5">
        <f>N50*O50</f>
        <v>0.9900000000000001</v>
      </c>
    </row>
    <row r="51" spans="10:16" x14ac:dyDescent="0.25">
      <c r="J51" s="46"/>
      <c r="L51" s="29"/>
      <c r="M51" s="47"/>
      <c r="N51" s="62"/>
      <c r="O51" s="47" t="s">
        <v>136</v>
      </c>
      <c r="P51" s="9">
        <f>SUM(P46:P50)</f>
        <v>8.9699999999999989</v>
      </c>
    </row>
    <row r="52" spans="10:16" x14ac:dyDescent="0.25">
      <c r="J52" s="46"/>
    </row>
    <row r="53" spans="10:16" x14ac:dyDescent="0.25">
      <c r="J53" s="46"/>
    </row>
    <row r="54" spans="10:16" x14ac:dyDescent="0.25">
      <c r="J54" s="46"/>
    </row>
    <row r="55" spans="10:16" x14ac:dyDescent="0.25">
      <c r="J55" s="46"/>
    </row>
  </sheetData>
  <pageMargins left="0.7" right="0.7" top="0.75" bottom="0.75" header="0.3" footer="0.3"/>
  <pageSetup paperSize="9" orientation="portrait" horizontalDpi="12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15"/>
  <sheetViews>
    <sheetView topLeftCell="B1" workbookViewId="0">
      <selection activeCell="C25" sqref="C25"/>
    </sheetView>
  </sheetViews>
  <sheetFormatPr defaultRowHeight="15" x14ac:dyDescent="0.25"/>
  <cols>
    <col min="1" max="1" width="34.85546875" bestFit="1" customWidth="1"/>
    <col min="3" max="3" width="10.85546875" bestFit="1" customWidth="1"/>
    <col min="8" max="8" width="10" bestFit="1" customWidth="1"/>
    <col min="9" max="9" width="35.42578125" bestFit="1" customWidth="1"/>
    <col min="10" max="11" width="10.85546875" bestFit="1" customWidth="1"/>
    <col min="13" max="13" width="13.140625" bestFit="1" customWidth="1"/>
    <col min="14" max="14" width="15.28515625" bestFit="1" customWidth="1"/>
  </cols>
  <sheetData>
    <row r="2" spans="1:15" ht="17.25" x14ac:dyDescent="0.25">
      <c r="A2" t="s">
        <v>63</v>
      </c>
      <c r="B2">
        <v>20.9</v>
      </c>
      <c r="C2" t="s">
        <v>62</v>
      </c>
      <c r="F2" t="s">
        <v>77</v>
      </c>
      <c r="G2" t="s">
        <v>52</v>
      </c>
      <c r="H2" t="s">
        <v>57</v>
      </c>
      <c r="I2" t="s">
        <v>86</v>
      </c>
      <c r="J2" t="s">
        <v>88</v>
      </c>
      <c r="K2" t="s">
        <v>4</v>
      </c>
      <c r="M2" t="s">
        <v>77</v>
      </c>
      <c r="N2" t="s">
        <v>55</v>
      </c>
      <c r="O2" t="s">
        <v>158</v>
      </c>
    </row>
    <row r="3" spans="1:15" ht="17.25" x14ac:dyDescent="0.25">
      <c r="A3" t="s">
        <v>71</v>
      </c>
      <c r="B3">
        <v>22.5</v>
      </c>
      <c r="C3" t="s">
        <v>62</v>
      </c>
      <c r="F3" t="s">
        <v>85</v>
      </c>
      <c r="G3" t="s">
        <v>73</v>
      </c>
      <c r="H3" t="s">
        <v>89</v>
      </c>
      <c r="I3" t="s">
        <v>87</v>
      </c>
      <c r="J3">
        <v>16</v>
      </c>
      <c r="K3">
        <v>4.5</v>
      </c>
      <c r="M3" t="s">
        <v>157</v>
      </c>
      <c r="N3" t="s">
        <v>162</v>
      </c>
      <c r="O3">
        <v>35.4</v>
      </c>
    </row>
    <row r="4" spans="1:15" ht="17.25" x14ac:dyDescent="0.25">
      <c r="A4" t="s">
        <v>64</v>
      </c>
      <c r="B4">
        <v>31.61</v>
      </c>
      <c r="C4" t="s">
        <v>62</v>
      </c>
      <c r="F4" t="s">
        <v>85</v>
      </c>
      <c r="G4" t="s">
        <v>73</v>
      </c>
      <c r="H4" t="s">
        <v>89</v>
      </c>
      <c r="I4" t="s">
        <v>90</v>
      </c>
      <c r="J4">
        <v>63</v>
      </c>
      <c r="K4">
        <v>12.9</v>
      </c>
      <c r="M4" t="s">
        <v>157</v>
      </c>
      <c r="N4" s="49" t="s">
        <v>163</v>
      </c>
      <c r="O4">
        <v>35.4</v>
      </c>
    </row>
    <row r="5" spans="1:15" ht="17.25" x14ac:dyDescent="0.25">
      <c r="A5" t="s">
        <v>70</v>
      </c>
      <c r="B5">
        <v>35.799999999999997</v>
      </c>
      <c r="C5" t="s">
        <v>62</v>
      </c>
      <c r="F5" t="s">
        <v>85</v>
      </c>
      <c r="G5" t="s">
        <v>73</v>
      </c>
      <c r="H5" t="s">
        <v>91</v>
      </c>
      <c r="I5" t="s">
        <v>112</v>
      </c>
      <c r="J5">
        <v>125</v>
      </c>
      <c r="K5">
        <v>39.9</v>
      </c>
      <c r="M5" t="s">
        <v>157</v>
      </c>
      <c r="N5" s="49" t="s">
        <v>164</v>
      </c>
      <c r="O5">
        <v>40.799999999999997</v>
      </c>
    </row>
    <row r="6" spans="1:15" x14ac:dyDescent="0.25">
      <c r="F6" t="s">
        <v>85</v>
      </c>
      <c r="G6" t="s">
        <v>73</v>
      </c>
      <c r="H6" t="s">
        <v>91</v>
      </c>
      <c r="I6" t="s">
        <v>92</v>
      </c>
      <c r="J6">
        <v>160</v>
      </c>
      <c r="K6">
        <v>48.45</v>
      </c>
      <c r="M6" t="s">
        <v>157</v>
      </c>
      <c r="N6" t="s">
        <v>165</v>
      </c>
      <c r="O6">
        <v>40.799999999999997</v>
      </c>
    </row>
    <row r="7" spans="1:15" x14ac:dyDescent="0.25">
      <c r="F7" t="s">
        <v>85</v>
      </c>
      <c r="G7" t="s">
        <v>74</v>
      </c>
      <c r="H7" t="s">
        <v>99</v>
      </c>
      <c r="I7" t="s">
        <v>98</v>
      </c>
      <c r="J7">
        <v>800</v>
      </c>
      <c r="K7">
        <v>50</v>
      </c>
      <c r="M7" t="s">
        <v>157</v>
      </c>
      <c r="N7" t="s">
        <v>166</v>
      </c>
      <c r="O7">
        <v>42</v>
      </c>
    </row>
    <row r="8" spans="1:15" x14ac:dyDescent="0.25">
      <c r="F8" t="s">
        <v>85</v>
      </c>
      <c r="G8" t="s">
        <v>74</v>
      </c>
      <c r="H8" t="s">
        <v>99</v>
      </c>
      <c r="I8" t="s">
        <v>100</v>
      </c>
      <c r="J8">
        <v>1000</v>
      </c>
      <c r="K8">
        <v>78</v>
      </c>
      <c r="M8" t="s">
        <v>157</v>
      </c>
      <c r="N8" t="s">
        <v>167</v>
      </c>
      <c r="O8">
        <v>42</v>
      </c>
    </row>
    <row r="9" spans="1:15" x14ac:dyDescent="0.25">
      <c r="F9" t="s">
        <v>85</v>
      </c>
      <c r="G9" t="s">
        <v>74</v>
      </c>
      <c r="H9" t="s">
        <v>102</v>
      </c>
      <c r="I9" t="s">
        <v>101</v>
      </c>
      <c r="J9">
        <v>1600</v>
      </c>
      <c r="K9">
        <v>288</v>
      </c>
      <c r="M9" t="s">
        <v>157</v>
      </c>
      <c r="N9" t="s">
        <v>168</v>
      </c>
      <c r="O9">
        <v>78</v>
      </c>
    </row>
    <row r="10" spans="1:15" x14ac:dyDescent="0.25">
      <c r="F10" t="s">
        <v>85</v>
      </c>
      <c r="G10" t="s">
        <v>74</v>
      </c>
      <c r="H10" t="s">
        <v>102</v>
      </c>
      <c r="I10" t="s">
        <v>103</v>
      </c>
      <c r="J10">
        <v>2000</v>
      </c>
      <c r="K10">
        <v>212</v>
      </c>
      <c r="M10" t="s">
        <v>157</v>
      </c>
      <c r="N10" t="s">
        <v>169</v>
      </c>
      <c r="O10">
        <v>78</v>
      </c>
    </row>
    <row r="11" spans="1:15" x14ac:dyDescent="0.25">
      <c r="F11" t="s">
        <v>85</v>
      </c>
      <c r="G11" t="s">
        <v>74</v>
      </c>
      <c r="H11" t="s">
        <v>105</v>
      </c>
      <c r="I11" t="s">
        <v>104</v>
      </c>
      <c r="J11">
        <v>3200</v>
      </c>
      <c r="K11">
        <v>743</v>
      </c>
      <c r="M11" t="s">
        <v>157</v>
      </c>
      <c r="N11" t="s">
        <v>172</v>
      </c>
      <c r="O11">
        <v>105</v>
      </c>
    </row>
    <row r="12" spans="1:15" x14ac:dyDescent="0.25">
      <c r="F12" t="s">
        <v>85</v>
      </c>
      <c r="G12" t="s">
        <v>75</v>
      </c>
      <c r="H12" t="s">
        <v>107</v>
      </c>
      <c r="I12" t="s">
        <v>110</v>
      </c>
      <c r="J12">
        <v>7.5</v>
      </c>
      <c r="K12">
        <v>81</v>
      </c>
      <c r="M12" t="s">
        <v>157</v>
      </c>
      <c r="N12" t="s">
        <v>171</v>
      </c>
      <c r="O12">
        <v>105</v>
      </c>
    </row>
    <row r="13" spans="1:15" x14ac:dyDescent="0.25">
      <c r="F13" t="s">
        <v>85</v>
      </c>
      <c r="G13" t="s">
        <v>75</v>
      </c>
      <c r="H13" t="s">
        <v>107</v>
      </c>
      <c r="I13" t="s">
        <v>111</v>
      </c>
      <c r="J13">
        <v>46</v>
      </c>
      <c r="K13">
        <v>420</v>
      </c>
      <c r="M13" t="s">
        <v>157</v>
      </c>
      <c r="N13" t="s">
        <v>170</v>
      </c>
      <c r="O13">
        <v>189</v>
      </c>
    </row>
    <row r="14" spans="1:15" x14ac:dyDescent="0.25">
      <c r="M14" t="s">
        <v>157</v>
      </c>
      <c r="N14" t="s">
        <v>173</v>
      </c>
      <c r="O14">
        <v>189</v>
      </c>
    </row>
    <row r="15" spans="1:15" x14ac:dyDescent="0.25">
      <c r="M15" t="s">
        <v>157</v>
      </c>
      <c r="N15" t="s">
        <v>175</v>
      </c>
      <c r="O15">
        <v>484</v>
      </c>
    </row>
  </sheetData>
  <pageMargins left="0.7" right="0.7" top="0.75" bottom="0.75" header="0.3" footer="0.3"/>
  <pageSetup paperSize="9" orientation="portrait" horizontalDpi="12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Main</vt:lpstr>
      <vt:lpstr>calc</vt:lpstr>
      <vt:lpstr>data</vt:lpstr>
      <vt:lpstr>ABB</vt:lpstr>
      <vt:lpstr>ABB_ACB</vt:lpstr>
      <vt:lpstr>ABB_MCCB</vt:lpstr>
      <vt:lpstr>ABB_VSD</vt:lpstr>
      <vt:lpstr>Air_Conditioning</vt:lpstr>
      <vt:lpstr>calc!Extract</vt:lpstr>
      <vt:lpstr>Fan_Select</vt:lpstr>
      <vt:lpstr>Fans</vt:lpstr>
      <vt:lpstr>Forced_Ventilation</vt:lpstr>
      <vt:lpstr>Free_Standing_Cubicle</vt:lpstr>
      <vt:lpstr>Free_Standing_Panel</vt:lpstr>
      <vt:lpstr>Lovato</vt:lpstr>
      <vt:lpstr>Models</vt:lpstr>
      <vt:lpstr>Natural_Ventilation</vt:lpstr>
      <vt:lpstr>Schaffner</vt:lpstr>
      <vt:lpstr>SG_Select</vt:lpstr>
      <vt:lpstr>Wall_Mounted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Nuwan Bandara</dc:creator>
  <cp:lastModifiedBy>Shaluka Hettiarachchi</cp:lastModifiedBy>
  <dcterms:created xsi:type="dcterms:W3CDTF">2019-09-30T10:50:42Z</dcterms:created>
  <dcterms:modified xsi:type="dcterms:W3CDTF">2019-11-13T11:59:34Z</dcterms:modified>
</cp:coreProperties>
</file>