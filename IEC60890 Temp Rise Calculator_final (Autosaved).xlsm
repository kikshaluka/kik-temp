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 activeTab="1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T7" i="2" l="1"/>
  <c r="M38" i="2"/>
  <c r="P8" i="2"/>
  <c r="Q10" i="2"/>
  <c r="P7" i="2"/>
  <c r="P4" i="2"/>
  <c r="P2" i="2" l="1"/>
  <c r="O8" i="2"/>
  <c r="O7" i="2"/>
  <c r="O4" i="2"/>
  <c r="Q30" i="2"/>
  <c r="O2" i="2"/>
  <c r="K19" i="2"/>
  <c r="O11" i="2"/>
  <c r="O10" i="2"/>
  <c r="L12" i="2" l="1" a="1"/>
  <c r="L12" i="2" s="1"/>
  <c r="N11" i="2"/>
  <c r="N7" i="2" l="1"/>
  <c r="AB21" i="2"/>
  <c r="N4" i="2"/>
  <c r="N8" i="2" s="1"/>
  <c r="AB20" i="2"/>
  <c r="AB19" i="2" l="1"/>
  <c r="E11" i="1"/>
  <c r="N2" i="2"/>
  <c r="R6" i="2" l="1"/>
  <c r="R7" i="2" s="1"/>
  <c r="L25" i="2" a="1"/>
  <c r="O3" i="2"/>
  <c r="N46" i="2"/>
  <c r="N3" i="2"/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K1" i="2" l="1"/>
  <c r="H34" i="1"/>
  <c r="G32" i="1"/>
  <c r="H26" i="1" l="1"/>
  <c r="H30" i="1"/>
  <c r="L3" i="1"/>
  <c r="E10" i="1" l="1"/>
  <c r="M6" i="2" s="1"/>
  <c r="P46" i="2" l="1"/>
  <c r="N48" i="2"/>
  <c r="P48" i="2" s="1"/>
  <c r="N47" i="2"/>
  <c r="P47" i="2" s="1"/>
  <c r="K32" i="2"/>
  <c r="P51" i="2" l="1"/>
  <c r="H5" i="1" s="1"/>
  <c r="K25" i="2" l="1"/>
  <c r="L25" i="2" s="1"/>
  <c r="S7" i="2" l="1"/>
  <c r="K12" i="2"/>
  <c r="P40" i="2"/>
  <c r="P41" i="2" s="1"/>
  <c r="N40" i="2" l="1"/>
  <c r="N41" i="2" s="1"/>
  <c r="T8" i="2"/>
  <c r="R8" i="2"/>
  <c r="E13" i="1" l="1"/>
  <c r="E16" i="1" s="1"/>
  <c r="O40" i="2"/>
  <c r="O41" i="2" s="1"/>
  <c r="S8" i="2"/>
  <c r="M35" i="2"/>
  <c r="E12" i="1" l="1"/>
  <c r="E17" i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<sst xmlns="http://schemas.openxmlformats.org/spreadsheetml/2006/main" count="384" uniqueCount="180">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</sst>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"/>
    <numFmt numFmtId="165" formatCode="0.0000000"/>
    <numFmt numFmtId="166" formatCode="0.00000000"/>
    <numFmt numFmtId="167" formatCode="0.000000000000"/>
    <numFmt numFmtId="168" formatCode="0.000"/>
    <numFmt numFmtId="169" formatCode="0.00000000000000000000000"/>
    <numFmt numFmtId="170" formatCode="0.00000"/>
    <numFmt numFmtId="171" formatCode="0.000000000"/>
    <numFmt numFmtId="172" formatCode="0.0000000000"/>
    <numFmt numFmtId="173" formatCode="0.00000000000"/>
    <numFmt numFmtId="174" formatCode="0.000000000000000"/>
    <numFmt numFmtId="175" formatCode="0.0000000000000000"/>
    <numFmt numFmtId="176" formatCode="0.000000000000000000"/>
    <numFmt numFmtId="177" formatCode="0.00000000000000000000"/>
    <numFmt numFmtId="178" formatCode="0.0000000000000000000000"/>
    <numFmt numFmtId="181" formatCode="0.00000000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166" fontId="0" fillId="0" borderId="0" xfId="0" applyNumberFormat="1"/>
    <xf numFmtId="168" fontId="0" fillId="0" borderId="0" xfId="0" applyNumberFormat="1"/>
    <xf numFmtId="167" fontId="0" fillId="0" borderId="0" xfId="0" applyNumberFormat="1" applyBorder="1"/>
    <xf numFmtId="165" fontId="0" fillId="0" borderId="10" xfId="0" applyNumberFormat="1" applyBorder="1"/>
    <xf numFmtId="169" fontId="0" fillId="0" borderId="0" xfId="0" applyNumberFormat="1"/>
    <xf numFmtId="170" fontId="0" fillId="0" borderId="0" xfId="0" applyNumberFormat="1"/>
    <xf numFmtId="172" fontId="0" fillId="0" borderId="0" xfId="0" applyNumberFormat="1"/>
    <xf numFmtId="173" fontId="0" fillId="0" borderId="0" xfId="0" applyNumberFormat="1"/>
    <xf numFmtId="178" fontId="0" fillId="0" borderId="0" xfId="0" applyNumberFormat="1" applyFont="1" applyBorder="1"/>
    <xf numFmtId="177" fontId="0" fillId="0" borderId="0" xfId="0" applyNumberFormat="1"/>
    <xf numFmtId="171" fontId="0" fillId="6" borderId="0" xfId="0" applyNumberFormat="1" applyFill="1"/>
    <xf numFmtId="176" fontId="0" fillId="0" borderId="0" xfId="0" applyNumberFormat="1" applyBorder="1"/>
    <xf numFmtId="174" fontId="0" fillId="0" borderId="1" xfId="0" applyNumberFormat="1" applyBorder="1"/>
    <xf numFmtId="175" fontId="0" fillId="0" borderId="10" xfId="0" applyNumberFormat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176" fontId="0" fillId="0" borderId="6" xfId="0" applyNumberFormat="1" applyFont="1" applyBorder="1"/>
    <xf numFmtId="176" fontId="0" fillId="0" borderId="6" xfId="0" applyNumberFormat="1" applyBorder="1"/>
    <xf numFmtId="181" fontId="0" fillId="0" borderId="8" xfId="0" applyNumberFormat="1" applyBorder="1"/>
    <xf numFmtId="181" fontId="0" fillId="0" borderId="11" xfId="0" applyNumberFormat="1" applyBorder="1"/>
    <xf numFmtId="175" fontId="0" fillId="4" borderId="1" xfId="0" applyNumberFormat="1" applyFill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zoomScaleNormal="100" workbookViewId="0">
      <selection activeCell="E17" sqref="E17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87" t="s">
        <v>174</v>
      </c>
      <c r="B1" s="88"/>
      <c r="C1" s="88"/>
      <c r="D1" s="88"/>
      <c r="E1" s="88"/>
      <c r="F1" s="88"/>
      <c r="G1" s="88"/>
      <c r="H1" s="88"/>
      <c r="I1" s="89"/>
      <c r="J1" s="58"/>
      <c r="K1" s="59"/>
      <c r="L1" s="60"/>
      <c r="M1" s="61"/>
    </row>
    <row r="2" spans="1:13" x14ac:dyDescent="0.25">
      <c r="A2" s="26"/>
      <c r="B2" s="27"/>
      <c r="C2" s="27"/>
      <c r="D2" s="27"/>
      <c r="E2" s="27"/>
      <c r="F2" s="27"/>
      <c r="G2" s="27"/>
      <c r="H2" s="27"/>
      <c r="I2" s="28"/>
      <c r="J2" s="27"/>
      <c r="K2" s="62"/>
      <c r="L2" s="29"/>
      <c r="M2" s="63"/>
    </row>
    <row r="3" spans="1:13" ht="17.25" x14ac:dyDescent="0.25">
      <c r="A3" s="45" t="s">
        <v>0</v>
      </c>
      <c r="B3" s="4" t="s">
        <v>8</v>
      </c>
      <c r="C3" s="27"/>
      <c r="D3" s="41" t="s">
        <v>47</v>
      </c>
      <c r="E3" s="4">
        <v>35</v>
      </c>
      <c r="F3" s="27" t="s">
        <v>121</v>
      </c>
      <c r="G3" s="41" t="s">
        <v>46</v>
      </c>
      <c r="H3" s="8">
        <f>QUOTIENT(B17,1500)+IF(MOD(B17,1500)&gt;0,1,0)</f>
        <v>2</v>
      </c>
      <c r="I3" s="28"/>
      <c r="J3" s="27"/>
      <c r="K3" s="3" t="s">
        <v>4</v>
      </c>
      <c r="L3" s="12">
        <f>SUM(L4:L1048576)</f>
        <v>394.26964912280704</v>
      </c>
      <c r="M3" s="63" t="s">
        <v>118</v>
      </c>
    </row>
    <row r="4" spans="1:13" x14ac:dyDescent="0.25">
      <c r="A4" s="26"/>
      <c r="B4" s="27"/>
      <c r="C4" s="27"/>
      <c r="G4" s="27"/>
      <c r="H4" s="27"/>
      <c r="I4" s="28"/>
      <c r="J4" s="27"/>
      <c r="K4" s="62" t="s">
        <v>147</v>
      </c>
      <c r="L4" s="29">
        <v>22.293333333333333</v>
      </c>
      <c r="M4" s="63"/>
    </row>
    <row r="5" spans="1:13" x14ac:dyDescent="0.25">
      <c r="A5" s="45" t="s">
        <v>1</v>
      </c>
      <c r="B5" s="4" t="s">
        <v>3</v>
      </c>
      <c r="C5" s="27"/>
      <c r="D5" s="41" t="s">
        <v>60</v>
      </c>
      <c r="E5" s="4">
        <v>0.85</v>
      </c>
      <c r="G5" s="1" t="s">
        <v>134</v>
      </c>
      <c r="H5" s="9">
        <f>calc!P51</f>
        <v>8.9699999999999989</v>
      </c>
      <c r="I5" s="28"/>
      <c r="J5" s="27"/>
      <c r="K5" s="62" t="s">
        <v>148</v>
      </c>
      <c r="L5" s="29">
        <v>35.526315789473685</v>
      </c>
      <c r="M5" s="63"/>
    </row>
    <row r="6" spans="1:13" x14ac:dyDescent="0.25">
      <c r="A6" s="26"/>
      <c r="B6" s="27"/>
      <c r="C6" s="27"/>
      <c r="I6" s="28"/>
      <c r="J6" s="27"/>
      <c r="K6" s="62" t="s">
        <v>149</v>
      </c>
      <c r="L6" s="29">
        <v>48.45</v>
      </c>
      <c r="M6" s="63"/>
    </row>
    <row r="7" spans="1:13" ht="17.25" x14ac:dyDescent="0.25">
      <c r="A7" s="45" t="str">
        <f>IF(B3="Natural_Ventilation","Louver Area","")</f>
        <v/>
      </c>
      <c r="B7" s="4">
        <v>5000</v>
      </c>
      <c r="C7" s="27" t="s">
        <v>156</v>
      </c>
      <c r="D7" s="41" t="s">
        <v>143</v>
      </c>
      <c r="E7" s="4">
        <v>40</v>
      </c>
      <c r="F7" t="s">
        <v>121</v>
      </c>
      <c r="I7" s="28"/>
      <c r="J7" s="27"/>
      <c r="K7" s="62" t="s">
        <v>142</v>
      </c>
      <c r="L7" s="29">
        <v>288</v>
      </c>
      <c r="M7" s="63"/>
    </row>
    <row r="8" spans="1:13" x14ac:dyDescent="0.25">
      <c r="A8" s="26"/>
      <c r="B8" s="27"/>
      <c r="C8" s="27"/>
      <c r="I8" s="28"/>
      <c r="J8" s="27"/>
      <c r="K8" s="62"/>
      <c r="L8" s="29"/>
      <c r="M8" s="63"/>
    </row>
    <row r="9" spans="1:13" x14ac:dyDescent="0.25">
      <c r="A9" s="45" t="s">
        <v>10</v>
      </c>
      <c r="B9" s="4">
        <v>1000</v>
      </c>
      <c r="C9" s="27" t="s">
        <v>150</v>
      </c>
      <c r="H9">
        <f>QUOTIENT(2200,1500)</f>
        <v>1</v>
      </c>
      <c r="I9" s="28"/>
      <c r="J9" s="27"/>
      <c r="K9" s="62"/>
      <c r="L9" s="29"/>
      <c r="M9" s="63"/>
    </row>
    <row r="10" spans="1:13" x14ac:dyDescent="0.25">
      <c r="A10" s="26"/>
      <c r="B10" s="27"/>
      <c r="C10" s="27"/>
      <c r="D10" s="41" t="s">
        <v>119</v>
      </c>
      <c r="E10" s="14">
        <f>L3</f>
        <v>394.26964912280704</v>
      </c>
      <c r="F10" s="27" t="s">
        <v>118</v>
      </c>
      <c r="H10">
        <f>MOD(2200,1500)</f>
        <v>700</v>
      </c>
      <c r="I10" s="28"/>
      <c r="J10" s="27"/>
      <c r="K10" s="62"/>
      <c r="L10" s="29"/>
      <c r="M10" s="63"/>
    </row>
    <row r="11" spans="1:13" x14ac:dyDescent="0.25">
      <c r="A11" s="45" t="s">
        <v>11</v>
      </c>
      <c r="B11" s="4" t="s">
        <v>15</v>
      </c>
      <c r="C11" s="27"/>
      <c r="D11" s="41" t="s">
        <v>120</v>
      </c>
      <c r="E11" s="14">
        <f>E10*(E5^2)</f>
        <v>284.85982149122805</v>
      </c>
      <c r="F11" s="27" t="s">
        <v>118</v>
      </c>
      <c r="H11">
        <f>QUOTIENT(1000,1500)+IF(MOD(1000,1500)&gt;0,1,0)</f>
        <v>1</v>
      </c>
      <c r="I11" s="28"/>
      <c r="J11" s="27"/>
      <c r="K11" s="62"/>
      <c r="L11" s="29"/>
      <c r="M11" s="63"/>
    </row>
    <row r="12" spans="1:13" x14ac:dyDescent="0.25">
      <c r="A12" s="26"/>
      <c r="B12" s="27"/>
      <c r="C12" s="27"/>
      <c r="D12" s="15" t="s">
        <v>140</v>
      </c>
      <c r="E12" s="94">
        <f>IF(calc!P51&lt;1.25,calc!P7,IF(AND(calc!P51&gt;1.25,Main!B7=0),calc!N7,calc!O7))</f>
        <v>0.95294921951126577</v>
      </c>
      <c r="F12" s="27"/>
      <c r="G12" s="27"/>
      <c r="H12" s="27"/>
      <c r="I12" s="28"/>
      <c r="J12" s="27"/>
      <c r="K12" s="62"/>
      <c r="L12" s="29"/>
      <c r="M12" s="63"/>
    </row>
    <row r="13" spans="1:13" x14ac:dyDescent="0.25">
      <c r="A13" s="45" t="s">
        <v>13</v>
      </c>
      <c r="B13" s="4" t="s">
        <v>12</v>
      </c>
      <c r="C13" s="27"/>
      <c r="D13" s="15" t="s">
        <v>141</v>
      </c>
      <c r="E13" s="94">
        <f>IF(calc!P51&lt;1.25,calc!P8,IF(AND(calc!P51&gt;1.25,Main!B7=0),calc!N8,calc!O8))</f>
        <v>2.9898469660893201</v>
      </c>
      <c r="F13" s="27"/>
      <c r="I13" s="28"/>
      <c r="J13" s="27"/>
      <c r="K13" s="62"/>
      <c r="L13" s="29"/>
      <c r="M13" s="63"/>
    </row>
    <row r="14" spans="1:13" x14ac:dyDescent="0.25">
      <c r="A14" s="26"/>
      <c r="B14" s="27"/>
      <c r="C14" s="27"/>
      <c r="H14" s="27"/>
      <c r="I14" s="28"/>
      <c r="J14" s="27"/>
      <c r="K14" s="62"/>
      <c r="L14" s="29"/>
      <c r="M14" s="63"/>
    </row>
    <row r="15" spans="1:13" x14ac:dyDescent="0.25">
      <c r="A15" s="45" t="s">
        <v>23</v>
      </c>
      <c r="B15" s="27"/>
      <c r="C15" s="27"/>
      <c r="I15" s="28"/>
      <c r="J15" s="27"/>
      <c r="K15" s="62"/>
      <c r="L15" s="29"/>
      <c r="M15" s="63"/>
    </row>
    <row r="16" spans="1:13" x14ac:dyDescent="0.25">
      <c r="A16" s="46" t="s">
        <v>24</v>
      </c>
      <c r="B16" s="4">
        <v>2200</v>
      </c>
      <c r="C16" s="27" t="s">
        <v>45</v>
      </c>
      <c r="D16" s="15" t="str">
        <f>IF(B3="Natural_Ventilation","Temp. of Max. Height","")</f>
        <v/>
      </c>
      <c r="E16" s="55" t="str">
        <f>IF(B3="Natural_Ventilation",E3+E13,"")</f>
        <v/>
      </c>
      <c r="F16" s="27" t="str">
        <f>IF(B3="Natural_Ventilation",CHAR(176)&amp;"C","")</f>
        <v/>
      </c>
      <c r="H16" s="27"/>
      <c r="I16" s="28"/>
      <c r="J16" s="27"/>
      <c r="K16" s="62"/>
      <c r="L16" s="29"/>
      <c r="M16" s="63"/>
    </row>
    <row r="17" spans="1:13" x14ac:dyDescent="0.25">
      <c r="A17" s="47" t="s">
        <v>25</v>
      </c>
      <c r="B17" s="4">
        <v>3000</v>
      </c>
      <c r="C17" s="27" t="s">
        <v>45</v>
      </c>
      <c r="D17" s="41" t="str">
        <f>IF(B3="Forced_Ventilation","Fan Capacity","")</f>
        <v>Fan Capacity</v>
      </c>
      <c r="E17" s="55">
        <f>IF(B3="Forced_Ventilation",calc!M38,"")</f>
        <v>139.78104016759988</v>
      </c>
      <c r="F17" s="27" t="str">
        <f>IF(B3="Forced_Ventilation","m"&amp;CHAR(179)&amp;"/h","")</f>
        <v>m³/h</v>
      </c>
      <c r="H17" s="27"/>
      <c r="I17" s="28"/>
      <c r="J17" s="27"/>
      <c r="K17" s="62"/>
      <c r="L17" s="29"/>
      <c r="M17" s="63"/>
    </row>
    <row r="18" spans="1:13" x14ac:dyDescent="0.25">
      <c r="A18" s="46" t="s">
        <v>26</v>
      </c>
      <c r="B18" s="4">
        <v>500</v>
      </c>
      <c r="C18" s="27" t="s">
        <v>45</v>
      </c>
      <c r="D18" s="15" t="str">
        <f>IF(B3="Forced_Ventilation","Fan Qty","")</f>
        <v>Fan Qty</v>
      </c>
      <c r="E18" s="56">
        <f>IF(B3="Forced_Ventilation",IF(E17/C38 &gt;0,CEILING(E17/C38,1),0),"")</f>
        <v>1</v>
      </c>
      <c r="F18" s="49" t="str">
        <f>IF(B3="Forced_Ventilation","("&amp;B38&amp;")","")</f>
        <v>(PD120B-220 (38))</v>
      </c>
      <c r="H18" s="27"/>
      <c r="I18" s="28"/>
      <c r="J18" s="27"/>
      <c r="K18" s="62"/>
      <c r="L18" s="29"/>
      <c r="M18" s="63"/>
    </row>
    <row r="19" spans="1:13" x14ac:dyDescent="0.25">
      <c r="A19" s="26"/>
      <c r="B19" s="27"/>
      <c r="C19" s="27"/>
      <c r="D19" s="69" t="str">
        <f>IF(B3="Forced_Ventilation","Max. Temp.","")</f>
        <v>Max. Temp.</v>
      </c>
      <c r="E19" s="72">
        <f>IF(B3="Forced_Ventilation",E3+calc!O38,"")</f>
        <v>38.697911115544969</v>
      </c>
      <c r="F19" s="27" t="str">
        <f>IF(B3="Forced_Ventilation",CHAR(176)&amp;"C","")</f>
        <v>°C</v>
      </c>
      <c r="H19" s="27"/>
      <c r="I19" s="28"/>
      <c r="J19" s="27"/>
      <c r="K19" s="62"/>
      <c r="L19" s="29"/>
      <c r="M19" s="63"/>
    </row>
    <row r="20" spans="1:13" x14ac:dyDescent="0.25">
      <c r="A20" s="48" t="s">
        <v>27</v>
      </c>
      <c r="B20" s="4">
        <v>0</v>
      </c>
      <c r="C20" s="27"/>
      <c r="H20" s="27"/>
      <c r="I20" s="28"/>
      <c r="J20" s="27"/>
      <c r="K20" s="62"/>
      <c r="L20" s="29"/>
      <c r="M20" s="63"/>
    </row>
    <row r="21" spans="1:13" x14ac:dyDescent="0.25">
      <c r="A21" s="26"/>
      <c r="B21" s="27"/>
      <c r="C21" s="27"/>
      <c r="H21" s="27"/>
      <c r="I21" s="28"/>
      <c r="J21" s="27"/>
      <c r="K21" s="62"/>
      <c r="L21" s="29"/>
      <c r="M21" s="63"/>
    </row>
    <row r="22" spans="1:13" ht="15.75" x14ac:dyDescent="0.25">
      <c r="B22" s="68"/>
      <c r="C22" s="41"/>
      <c r="H22" s="27"/>
      <c r="I22" s="28"/>
      <c r="J22" s="27"/>
      <c r="K22" s="62"/>
      <c r="L22" s="29"/>
      <c r="M22" s="63"/>
    </row>
    <row r="23" spans="1:13" ht="15.75" x14ac:dyDescent="0.25">
      <c r="A23" s="67" t="s">
        <v>54</v>
      </c>
      <c r="B23" s="27"/>
      <c r="C23" s="27"/>
      <c r="H23" s="27"/>
      <c r="I23" s="28"/>
      <c r="J23" s="27"/>
      <c r="K23" s="62"/>
      <c r="L23" s="29"/>
      <c r="M23" s="63"/>
    </row>
    <row r="24" spans="1:13" x14ac:dyDescent="0.25">
      <c r="A24" s="45" t="s">
        <v>51</v>
      </c>
      <c r="B24" s="27"/>
      <c r="C24" s="27"/>
      <c r="D24" s="27"/>
      <c r="E24" s="27"/>
      <c r="F24" s="27"/>
      <c r="G24" s="27"/>
      <c r="H24" s="27"/>
      <c r="I24" s="28"/>
      <c r="J24" s="27"/>
      <c r="K24" s="62"/>
      <c r="L24" s="29"/>
      <c r="M24" s="63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28"/>
      <c r="J25" s="27"/>
      <c r="K25" s="62"/>
      <c r="L25" s="29"/>
      <c r="M25" s="63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28"/>
      <c r="J26" s="27"/>
      <c r="K26" s="62"/>
      <c r="L26" s="29"/>
      <c r="M26" s="63"/>
    </row>
    <row r="27" spans="1:13" x14ac:dyDescent="0.25">
      <c r="A27" s="26"/>
      <c r="B27" s="27"/>
      <c r="C27" s="27"/>
      <c r="D27" s="27"/>
      <c r="E27" s="27"/>
      <c r="F27" s="27"/>
      <c r="G27" s="27"/>
      <c r="H27" s="27"/>
      <c r="I27" s="28"/>
      <c r="J27" s="27"/>
      <c r="K27" s="62"/>
      <c r="L27" s="29"/>
      <c r="M27" s="63"/>
    </row>
    <row r="28" spans="1:13" x14ac:dyDescent="0.25">
      <c r="A28" s="45" t="s">
        <v>53</v>
      </c>
      <c r="B28" s="27"/>
      <c r="C28" s="27"/>
      <c r="D28" s="27"/>
      <c r="E28" s="27"/>
      <c r="F28" s="27"/>
      <c r="G28" s="27"/>
      <c r="H28" s="27"/>
      <c r="I28" s="28"/>
      <c r="J28" s="27"/>
      <c r="K28" s="62"/>
      <c r="L28" s="29"/>
      <c r="M28" s="63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28"/>
      <c r="J29" s="27"/>
      <c r="K29" s="62"/>
      <c r="L29" s="29"/>
      <c r="M29" s="63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28"/>
      <c r="J30" s="27"/>
      <c r="K30" s="62"/>
      <c r="L30" s="29"/>
      <c r="M30" s="63"/>
    </row>
    <row r="31" spans="1:13" x14ac:dyDescent="0.25">
      <c r="A31" s="26"/>
      <c r="B31" s="27"/>
      <c r="C31" s="27"/>
      <c r="D31" s="27"/>
      <c r="E31" s="27"/>
      <c r="F31" s="27"/>
      <c r="G31" s="27"/>
      <c r="H31" s="27"/>
      <c r="I31" s="28"/>
      <c r="J31" s="27"/>
      <c r="K31" s="62"/>
      <c r="L31" s="29"/>
      <c r="M31" s="63"/>
    </row>
    <row r="32" spans="1:13" x14ac:dyDescent="0.25">
      <c r="A32" s="45" t="s">
        <v>67</v>
      </c>
      <c r="B32" s="27"/>
      <c r="C32" s="27"/>
      <c r="D32" s="27"/>
      <c r="E32" s="27"/>
      <c r="F32" s="50" t="s">
        <v>113</v>
      </c>
      <c r="G32" s="51">
        <f>INDEX(calc!AD:AD,MATCH(E34,calc!AC:AC,0))</f>
        <v>63</v>
      </c>
      <c r="H32" s="27"/>
      <c r="I32" s="28"/>
      <c r="J32" s="27"/>
      <c r="K32" s="62"/>
      <c r="L32" s="29"/>
      <c r="M32" s="63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28"/>
      <c r="J33" s="27"/>
      <c r="K33" s="62"/>
      <c r="L33" s="29"/>
      <c r="M33" s="63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28"/>
      <c r="J34" s="27"/>
      <c r="K34" s="62"/>
      <c r="L34" s="29"/>
      <c r="M34" s="63"/>
    </row>
    <row r="35" spans="1:13" x14ac:dyDescent="0.25">
      <c r="A35" s="26"/>
      <c r="B35" s="27"/>
      <c r="C35" s="27"/>
      <c r="D35" s="27"/>
      <c r="E35" s="27"/>
      <c r="F35" s="27"/>
      <c r="G35" s="27"/>
      <c r="H35" s="27"/>
      <c r="I35" s="28"/>
      <c r="J35" s="27"/>
      <c r="K35" s="62"/>
      <c r="L35" s="29"/>
      <c r="M35" s="63"/>
    </row>
    <row r="36" spans="1:13" x14ac:dyDescent="0.25">
      <c r="A36" s="45" t="s">
        <v>159</v>
      </c>
      <c r="B36" s="27"/>
      <c r="C36" s="27"/>
      <c r="D36" s="27"/>
      <c r="E36" s="27"/>
      <c r="F36" s="27"/>
      <c r="G36" s="27"/>
      <c r="H36" s="27"/>
      <c r="I36" s="28"/>
      <c r="J36" s="27"/>
      <c r="K36" s="62"/>
      <c r="L36" s="29"/>
      <c r="M36" s="63"/>
    </row>
    <row r="37" spans="1:13" x14ac:dyDescent="0.25">
      <c r="A37" s="7" t="s">
        <v>77</v>
      </c>
      <c r="B37" s="3" t="s">
        <v>55</v>
      </c>
      <c r="C37" s="3" t="s">
        <v>160</v>
      </c>
      <c r="D37" s="27"/>
      <c r="E37" s="27"/>
      <c r="F37" s="27"/>
      <c r="G37" s="27"/>
      <c r="H37" s="27"/>
      <c r="I37" s="28"/>
      <c r="J37" s="27"/>
      <c r="K37" s="62"/>
      <c r="L37" s="29"/>
      <c r="M37" s="63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7"/>
      <c r="E38" s="27"/>
      <c r="F38" s="27"/>
      <c r="G38" s="27"/>
      <c r="H38" s="27"/>
      <c r="I38" s="28"/>
      <c r="J38" s="27"/>
      <c r="K38" s="62"/>
      <c r="L38" s="29"/>
      <c r="M38" s="63"/>
    </row>
    <row r="39" spans="1:13" ht="15.75" thickBot="1" x14ac:dyDescent="0.3">
      <c r="A39" s="52"/>
      <c r="B39" s="53"/>
      <c r="C39" s="53"/>
      <c r="D39" s="53"/>
      <c r="E39" s="53"/>
      <c r="F39" s="53"/>
      <c r="G39" s="53"/>
      <c r="H39" s="53"/>
      <c r="I39" s="54"/>
      <c r="J39" s="27"/>
      <c r="K39" s="64"/>
      <c r="L39" s="65"/>
      <c r="M39" s="66"/>
    </row>
    <row r="40" spans="1:13" x14ac:dyDescent="0.25">
      <c r="A40" s="27" t="s">
        <v>176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9"/>
      <c r="M40" s="27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Busbar_Add">
          <controlPr defaultSize="0" autoLine="0" r:id="rId5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4" name="cmdBusbar_Add"/>
      </mc:Fallback>
    </mc:AlternateContent>
    <mc:AlternateContent xmlns:mc="http://schemas.openxmlformats.org/markup-compatibility/2006">
      <mc:Choice Requires="x14">
        <control shapeId="1026" r:id="rId6" name="cmdCable_Add">
          <controlPr defaultSize="0" autoLine="0" r:id="rId7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6" name="cmdCable_Add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79" r:id="rId10" name="cmdClear_Loss">
          <controlPr defaultSize="0" autoLine="0" r:id="rId11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10" name="cmdClear_Loss"/>
      </mc:Fallback>
    </mc:AlternateContent>
    <mc:AlternateContent xmlns:mc="http://schemas.openxmlformats.org/markup-compatibility/2006">
      <mc:Choice Requires="x14">
        <control shapeId="1080" r:id="rId12" name="cmdDeletPowerloss">
          <controlPr defaultSize="0" autoLine="0" r:id="rId13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12" name="cmdDeletPowerlos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abSelected="1" topLeftCell="G28" zoomScaleNormal="100" workbookViewId="0">
      <selection activeCell="S8" sqref="S8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1" max="11" width="11.5703125" bestFit="1" customWidth="1"/>
    <col min="12" max="24" width="28.85546875" bestFit="1" customWidth="1"/>
    <col min="26" max="26" width="13.28515625" bestFit="1" customWidth="1"/>
    <col min="28" max="28" width="32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1"/>
      <c r="N1" s="22" t="s">
        <v>130</v>
      </c>
      <c r="O1" s="22" t="s">
        <v>131</v>
      </c>
      <c r="P1" s="23" t="s">
        <v>129</v>
      </c>
      <c r="Q1" s="21"/>
      <c r="R1" s="22" t="s">
        <v>130</v>
      </c>
      <c r="S1" s="22" t="s">
        <v>131</v>
      </c>
      <c r="T1" s="23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4" t="s">
        <v>122</v>
      </c>
      <c r="N2" s="25">
        <f>0.0459536911922546/(1  -0.987175746302811*EXP(-0.0647798482560785*calc!P51))</f>
        <v>0.10260362643003328</v>
      </c>
      <c r="O2" s="81">
        <f>(INDEX(L14:X14,L12)+INDEX(L15:X15,L12)*Main!B7)/(1 + INDEX(calc!L16:X16,calc!L12)*Main!B7 +INDEX( calc!L17:X17,calc!L12)*(Main!B7)^2)*(0.33/0.38)+0.05</f>
        <v>1.6749754741869738E-2</v>
      </c>
      <c r="P2" s="90">
        <f>70.2496526710266*(1+1.35363728862232*calc!P51/0.00227234009400175)^(-1/1.35363728862232)</f>
        <v>0.12378123795408041</v>
      </c>
      <c r="Q2" s="35"/>
      <c r="R2" s="27"/>
      <c r="S2" s="27"/>
      <c r="T2" s="28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6" t="s">
        <v>123</v>
      </c>
      <c r="N3" s="27">
        <f>IF(Main!B20=0,1,IF(Main!B20=1,1.05,IF(Main!B20=2,1.15,IF(Main!B20=3,1.3,1.3))))</f>
        <v>1</v>
      </c>
      <c r="O3" s="27">
        <f>IF(Main!B20=0,1,IF(Main!B20=1,1.05,IF(Main!B20=2,1.1,IF(Main!B20=3,1.15,1.15))))</f>
        <v>1</v>
      </c>
      <c r="P3" s="91">
        <v>1</v>
      </c>
      <c r="Q3" s="26"/>
      <c r="R3" s="27"/>
      <c r="S3" s="27"/>
      <c r="T3" s="28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6" t="s">
        <v>124</v>
      </c>
      <c r="N4" s="75">
        <f>INDEX(L21:P21,K1)*EXP(-EXP(INDEX(L22:P22,K1)-INDEX(L23:P23,K1)*K19))*(0.6/1.6)+1</f>
        <v>1.3672441786583911</v>
      </c>
      <c r="O4" s="84">
        <f>(INDEX(L27:U27,L25)+INDEX(L28:U28,L25)*Main!B7)/(1 + INDEX(calc!L29:U29,calc!L25)*Main!B7 + INDEX(calc!L30:U30,calc!L25)*(Main!B7^2))</f>
        <v>3.1374672489082971</v>
      </c>
      <c r="P4" s="91">
        <f>1.25746564411252/(1 + EXP(3.0499379294743-2.85423150337704*K32))^(1/13.3533620666701)</f>
        <v>1.2315205269785958</v>
      </c>
      <c r="Q4" s="26"/>
      <c r="R4" s="27"/>
      <c r="S4" s="27"/>
      <c r="T4" s="28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4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6" t="s">
        <v>125</v>
      </c>
      <c r="N5" s="27">
        <v>0.80400000000000005</v>
      </c>
      <c r="O5" s="27">
        <v>0.71499999999999997</v>
      </c>
      <c r="P5" s="91">
        <v>0.80400000000000005</v>
      </c>
      <c r="Q5" s="26"/>
      <c r="R5" s="27"/>
      <c r="S5" s="27"/>
      <c r="T5" s="28"/>
      <c r="AG5" t="s">
        <v>157</v>
      </c>
      <c r="AH5" s="44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0">
        <f>Main!E11</f>
        <v>284.85982149122805</v>
      </c>
      <c r="N6" s="27"/>
      <c r="O6" s="27"/>
      <c r="P6" s="28"/>
      <c r="Q6" s="36" t="s">
        <v>141</v>
      </c>
      <c r="R6" s="37">
        <f>Main!E7-Main!E3</f>
        <v>5</v>
      </c>
      <c r="S6" s="27"/>
      <c r="T6" s="28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1" t="s">
        <v>140</v>
      </c>
      <c r="N7" s="5">
        <f>N2*N3*($M$6^N5)</f>
        <v>9.6535309613245222</v>
      </c>
      <c r="O7" s="85">
        <f>O2*O3*($M$6^O5)</f>
        <v>0.95294921951126577</v>
      </c>
      <c r="P7" s="92">
        <f>P2*P3*($M$6^P5)</f>
        <v>11.646040735564338</v>
      </c>
      <c r="Q7" s="38" t="s">
        <v>140</v>
      </c>
      <c r="R7" s="5">
        <f>$R$6/N4</f>
        <v>3.6569912514868061</v>
      </c>
      <c r="S7" s="5">
        <f>$R$6/O4</f>
        <v>1.593642133392718</v>
      </c>
      <c r="T7" s="34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2" t="s">
        <v>141</v>
      </c>
      <c r="N8" s="76">
        <f>N4*N7</f>
        <v>13.198734010369495</v>
      </c>
      <c r="O8" s="86">
        <f>O7*O4</f>
        <v>2.9898469660893201</v>
      </c>
      <c r="P8" s="93">
        <f>P7*P4</f>
        <v>14.342338223876387</v>
      </c>
      <c r="Q8" s="39" t="s">
        <v>145</v>
      </c>
      <c r="R8" s="33">
        <f>(R7/(N2*N3))^(1/N5)</f>
        <v>85.172621251799654</v>
      </c>
      <c r="S8" s="33">
        <f>(S7/(O2*O3))^(1/O5)</f>
        <v>584.74743186000376</v>
      </c>
      <c r="T8" s="33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19" t="s">
        <v>144</v>
      </c>
      <c r="Q9" s="20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O10" s="82">
        <f>INDEX( calc!L17:X17,calc!L12)</f>
        <v>-4.6067519505801398E-7</v>
      </c>
      <c r="Q10">
        <f>P2*P4*(M6^P5)</f>
        <v>14.342338223876387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N11">
        <f>ABS(L13:X13-K12)</f>
        <v>6.9699999999999989</v>
      </c>
      <c r="O11">
        <f>(1 + INDEX(calc!L16:X16,calc!L12)*Main!B7 +INDEX( calc!L17:X17,calc!L12)*(Main!B7)^2)</f>
        <v>17.0656204228859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7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77">
        <v>0.4709155113008</v>
      </c>
      <c r="M14" s="77">
        <v>0.42578271643235799</v>
      </c>
      <c r="N14" s="77">
        <v>0.37829576210395</v>
      </c>
      <c r="O14" s="77">
        <v>0.35059531169307701</v>
      </c>
      <c r="P14" s="77">
        <v>0.323174016602576</v>
      </c>
      <c r="Q14" s="77">
        <v>0.29092262460784102</v>
      </c>
      <c r="R14" s="77">
        <v>0.26011744889404298</v>
      </c>
      <c r="S14" s="77">
        <v>0.240139182233822</v>
      </c>
      <c r="T14" s="77">
        <v>0.21907368551863099</v>
      </c>
      <c r="U14" s="77">
        <v>0.20143281897162599</v>
      </c>
      <c r="V14" s="77">
        <v>0.17347069514715999</v>
      </c>
      <c r="W14" s="77">
        <v>0.146222391627852</v>
      </c>
      <c r="X14" s="77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77">
        <v>-3.8301919075229402E-4</v>
      </c>
      <c r="M15" s="77">
        <v>-3.5941029420211498E-4</v>
      </c>
      <c r="N15" s="77">
        <v>-3.4025187812600899E-4</v>
      </c>
      <c r="O15" s="77">
        <v>-2.95688022480576E-4</v>
      </c>
      <c r="P15" s="77">
        <v>-2.81402417663993E-4</v>
      </c>
      <c r="Q15" s="77">
        <v>-2.5966938885320498E-4</v>
      </c>
      <c r="R15" s="77">
        <v>-2.2206483528250699E-4</v>
      </c>
      <c r="S15" s="77">
        <v>-2.2249010228530901E-4</v>
      </c>
      <c r="T15" s="77">
        <v>-1.9235220464129899E-4</v>
      </c>
      <c r="U15" s="77">
        <v>-1.7096880896183E-4</v>
      </c>
      <c r="V15" s="77">
        <v>-1.11141616585355E-4</v>
      </c>
      <c r="W15" s="77">
        <v>-1.0722019034465601E-4</v>
      </c>
      <c r="X15" s="77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77">
        <v>5.4640462193205801E-3</v>
      </c>
      <c r="M16" s="77">
        <v>5.5793244185667898E-3</v>
      </c>
      <c r="N16" s="77">
        <v>5.2625048523200404E-3</v>
      </c>
      <c r="O16" s="77">
        <v>5.2803442927133503E-3</v>
      </c>
      <c r="P16" s="77">
        <v>5.2766021425573297E-3</v>
      </c>
      <c r="Q16" s="77">
        <v>5.3124393459637199E-3</v>
      </c>
      <c r="R16" s="77">
        <v>5.1950454916009801E-3</v>
      </c>
      <c r="S16" s="77">
        <v>5.5100563224737302E-3</v>
      </c>
      <c r="T16" s="77">
        <v>5.3118389829225699E-3</v>
      </c>
      <c r="U16" s="77">
        <v>5.5165000598672497E-3</v>
      </c>
      <c r="V16" s="77">
        <v>5.34866001557599E-3</v>
      </c>
      <c r="W16" s="77">
        <v>4.8480736612526304E-3</v>
      </c>
      <c r="X16" s="77">
        <v>4.1928643893368303E-3</v>
      </c>
    </row>
    <row r="17" spans="1:28" x14ac:dyDescent="0.25">
      <c r="A17" s="2"/>
      <c r="E17" s="2" t="s">
        <v>83</v>
      </c>
      <c r="F17" s="2"/>
      <c r="G17" s="2"/>
      <c r="K17" t="s">
        <v>123</v>
      </c>
      <c r="L17" s="77">
        <v>-2.5664176144937902E-7</v>
      </c>
      <c r="M17" s="77">
        <v>-7.9719343011875101E-7</v>
      </c>
      <c r="N17" s="77">
        <v>-1.2171831789238501E-6</v>
      </c>
      <c r="O17" s="77">
        <v>-4.1769507660281098E-7</v>
      </c>
      <c r="P17" s="77">
        <v>-7.9865326270214198E-7</v>
      </c>
      <c r="Q17" s="77">
        <v>-1.27714466847515E-6</v>
      </c>
      <c r="R17" s="77">
        <v>-7.7117000985704495E-7</v>
      </c>
      <c r="S17" s="77">
        <v>-2.1385688015536698E-6</v>
      </c>
      <c r="T17" s="77">
        <v>-9.3391929386103701E-7</v>
      </c>
      <c r="U17" s="77">
        <v>-4.6067519505801398E-7</v>
      </c>
      <c r="V17" s="77">
        <v>3.0078373887601099E-6</v>
      </c>
      <c r="W17" s="77">
        <v>1.96270759315801E-6</v>
      </c>
      <c r="X17" s="77">
        <v>1.12690870500046E-6</v>
      </c>
    </row>
    <row r="18" spans="1:28" x14ac:dyDescent="0.25">
      <c r="A18" s="2"/>
      <c r="E18" s="2" t="s">
        <v>81</v>
      </c>
      <c r="F18" s="2"/>
      <c r="G18" s="2"/>
    </row>
    <row r="19" spans="1:28" x14ac:dyDescent="0.25">
      <c r="A19" s="2"/>
      <c r="E19" s="10" t="s">
        <v>106</v>
      </c>
      <c r="F19" s="2"/>
      <c r="G19" s="2"/>
      <c r="J19" t="s">
        <v>135</v>
      </c>
      <c r="K19" s="83">
        <f>((Main!B16/1000)^(1.35))/calc!N46</f>
        <v>3.8655327376965309</v>
      </c>
      <c r="AB19" s="73">
        <f>-EXP(INDEX(L22:P22,K1)-INDEX(L23:P23,K1)*K19)</f>
        <v>-0.61422590748822736</v>
      </c>
    </row>
    <row r="20" spans="1:28" x14ac:dyDescent="0.25">
      <c r="A20" s="27"/>
      <c r="B20" s="27"/>
      <c r="C20" s="27"/>
      <c r="D20" s="27"/>
      <c r="E20" s="27"/>
      <c r="F20" s="27"/>
      <c r="G20" s="27"/>
      <c r="K20" t="s">
        <v>137</v>
      </c>
      <c r="L20" s="16">
        <v>1</v>
      </c>
      <c r="M20" s="16">
        <v>2</v>
      </c>
      <c r="N20" s="16">
        <v>3</v>
      </c>
      <c r="O20" s="16">
        <v>4</v>
      </c>
      <c r="P20" s="16">
        <v>5</v>
      </c>
      <c r="AB20">
        <f>((Main!B16/1000)^(1.35))/calc!N46</f>
        <v>3.8655327376965309</v>
      </c>
    </row>
    <row r="21" spans="1:28" x14ac:dyDescent="0.25">
      <c r="A21" s="27"/>
      <c r="B21" s="27"/>
      <c r="C21" s="27"/>
      <c r="D21" s="27"/>
      <c r="K21" t="s">
        <v>128</v>
      </c>
      <c r="L21" s="78">
        <v>1.81</v>
      </c>
      <c r="M21" s="78">
        <v>1.77</v>
      </c>
      <c r="N21" s="78">
        <v>1.72</v>
      </c>
      <c r="O21" s="78">
        <v>1.62</v>
      </c>
      <c r="P21" s="78">
        <v>1.52</v>
      </c>
      <c r="Q21" s="13"/>
      <c r="AB21" s="74">
        <f>INDEX(L22:P22,K1)-INDEX(L23:P23,K1)</f>
        <v>3.7000000000000005E-2</v>
      </c>
    </row>
    <row r="22" spans="1:28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78">
        <v>0.22</v>
      </c>
      <c r="M22" s="78">
        <v>0.26800000000000002</v>
      </c>
      <c r="N22" s="78">
        <v>0.316</v>
      </c>
      <c r="O22" s="78">
        <v>0.375</v>
      </c>
      <c r="P22" s="78">
        <v>0.52600000000000002</v>
      </c>
      <c r="Q22" s="13"/>
    </row>
    <row r="23" spans="1:28" x14ac:dyDescent="0.25">
      <c r="A23" t="s">
        <v>89</v>
      </c>
      <c r="B23" t="s">
        <v>99</v>
      </c>
      <c r="C23" t="s">
        <v>107</v>
      </c>
      <c r="K23" t="s">
        <v>124</v>
      </c>
      <c r="L23" s="78">
        <v>0.183</v>
      </c>
      <c r="M23" s="78">
        <v>0.185</v>
      </c>
      <c r="N23" s="78">
        <v>0.191</v>
      </c>
      <c r="O23" s="78">
        <v>0.20300000000000001</v>
      </c>
      <c r="P23" s="78">
        <v>0.21</v>
      </c>
      <c r="Q23" s="13"/>
    </row>
    <row r="24" spans="1:28" x14ac:dyDescent="0.25">
      <c r="A24" t="s">
        <v>91</v>
      </c>
      <c r="B24" t="s">
        <v>102</v>
      </c>
      <c r="C24" t="s">
        <v>108</v>
      </c>
      <c r="L24" s="13"/>
      <c r="M24" s="13"/>
      <c r="N24" s="13"/>
      <c r="O24" s="13"/>
      <c r="P24" s="13"/>
      <c r="Q24" s="13"/>
    </row>
    <row r="25" spans="1:28" x14ac:dyDescent="0.25">
      <c r="B25" t="s">
        <v>105</v>
      </c>
      <c r="J25" t="s">
        <v>135</v>
      </c>
      <c r="K25" s="83">
        <f>K19</f>
        <v>3.8655327376965309</v>
      </c>
      <c r="L25" s="2">
        <f t="array" ref="L25">MATCH(MIN(ABS(L26:U26-K25)),ABS(L26:U26-K25),0)</f>
        <v>4</v>
      </c>
    </row>
    <row r="26" spans="1:28" x14ac:dyDescent="0.25">
      <c r="A26" s="27"/>
      <c r="B26" s="27"/>
      <c r="C26" s="27"/>
      <c r="D26" s="27"/>
      <c r="K26" t="s">
        <v>138</v>
      </c>
      <c r="L26" s="16">
        <v>1.5</v>
      </c>
      <c r="M26" s="16">
        <v>2</v>
      </c>
      <c r="N26" s="16">
        <v>3</v>
      </c>
      <c r="O26" s="16">
        <v>4</v>
      </c>
      <c r="P26" s="16">
        <v>5</v>
      </c>
      <c r="Q26" s="16">
        <v>6</v>
      </c>
      <c r="R26" s="16">
        <v>7</v>
      </c>
      <c r="S26" s="16">
        <v>8</v>
      </c>
      <c r="T26" s="16">
        <v>9</v>
      </c>
      <c r="U26" s="16">
        <v>10</v>
      </c>
    </row>
    <row r="27" spans="1:28" x14ac:dyDescent="0.25">
      <c r="A27" s="27"/>
      <c r="B27" s="27"/>
      <c r="C27" s="27"/>
      <c r="D27" s="27"/>
      <c r="K27" t="s">
        <v>128</v>
      </c>
      <c r="L27" s="80">
        <v>1.1200000000000001</v>
      </c>
      <c r="M27" s="80">
        <v>1.17</v>
      </c>
      <c r="N27" s="80">
        <v>1.31</v>
      </c>
      <c r="O27" s="80">
        <v>1.31</v>
      </c>
      <c r="P27" s="80">
        <v>1.36</v>
      </c>
      <c r="Q27" s="79">
        <v>1.4</v>
      </c>
      <c r="R27" s="79">
        <v>1.45</v>
      </c>
      <c r="S27" s="79">
        <v>1.5</v>
      </c>
      <c r="T27" s="79">
        <v>1.55</v>
      </c>
      <c r="U27" s="79">
        <v>1.6</v>
      </c>
    </row>
    <row r="28" spans="1:28" x14ac:dyDescent="0.25">
      <c r="A28" s="27"/>
      <c r="B28" s="27"/>
      <c r="C28" s="27"/>
      <c r="D28" s="27"/>
      <c r="K28" t="s">
        <v>43</v>
      </c>
      <c r="L28" s="80">
        <v>1.0999999999999999E-2</v>
      </c>
      <c r="M28" s="80">
        <v>1.23E-2</v>
      </c>
      <c r="N28" s="80">
        <v>1.77E-2</v>
      </c>
      <c r="O28" s="80">
        <v>1.77E-2</v>
      </c>
      <c r="P28" s="80">
        <v>2.1600000000000001E-2</v>
      </c>
      <c r="Q28" s="79">
        <v>2.6499999999999999E-2</v>
      </c>
      <c r="R28" s="79">
        <v>2.7699999999999999E-2</v>
      </c>
      <c r="S28" s="79">
        <v>3.0700000000000002E-2</v>
      </c>
      <c r="T28" s="79">
        <v>3.3099999999999997E-2</v>
      </c>
      <c r="U28" s="79">
        <v>3.6600000000000001E-2</v>
      </c>
    </row>
    <row r="29" spans="1:28" x14ac:dyDescent="0.25">
      <c r="A29" s="27"/>
      <c r="B29" s="27"/>
      <c r="C29" s="27"/>
      <c r="D29" s="27"/>
      <c r="K29" t="s">
        <v>124</v>
      </c>
      <c r="L29" s="80">
        <v>5.6299999999999996E-3</v>
      </c>
      <c r="M29" s="80">
        <v>6.3499999999999997E-3</v>
      </c>
      <c r="N29" s="80">
        <v>8.9999999999999993E-3</v>
      </c>
      <c r="O29" s="80">
        <v>8.9999999999999993E-3</v>
      </c>
      <c r="P29" s="80">
        <v>1.09E-2</v>
      </c>
      <c r="Q29" s="79">
        <v>1.3299999999999999E-2</v>
      </c>
      <c r="R29" s="79">
        <v>1.3599999999999999E-2</v>
      </c>
      <c r="S29" s="79">
        <v>1.49E-2</v>
      </c>
      <c r="T29" s="79">
        <v>1.5900000000000001E-2</v>
      </c>
      <c r="U29" s="79">
        <v>1.7500000000000002E-2</v>
      </c>
    </row>
    <row r="30" spans="1:28" x14ac:dyDescent="0.25">
      <c r="A30" s="27"/>
      <c r="B30" s="27"/>
      <c r="C30" s="27"/>
      <c r="D30" s="27"/>
      <c r="K30" t="s">
        <v>123</v>
      </c>
      <c r="L30" s="80">
        <v>-2.6E-7</v>
      </c>
      <c r="M30" s="80">
        <v>-3.9900000000000001E-7</v>
      </c>
      <c r="N30" s="80">
        <v>-6.9500000000000002E-7</v>
      </c>
      <c r="O30" s="80">
        <v>-6.9500000000000002E-7</v>
      </c>
      <c r="P30" s="80">
        <v>-9.1999999999999998E-7</v>
      </c>
      <c r="Q30" s="79">
        <f>0.00000119</f>
        <v>1.19E-6</v>
      </c>
      <c r="R30" s="79">
        <v>-1.1400000000000001E-6</v>
      </c>
      <c r="S30" s="79">
        <v>-1.17E-6</v>
      </c>
      <c r="T30" s="79">
        <v>-1.3E-6</v>
      </c>
      <c r="U30" s="79">
        <v>-1.48E-6</v>
      </c>
    </row>
    <row r="31" spans="1:28" x14ac:dyDescent="0.25">
      <c r="A31" s="27"/>
      <c r="B31" s="27"/>
      <c r="C31" s="27"/>
      <c r="D31" s="27"/>
    </row>
    <row r="32" spans="1:28" x14ac:dyDescent="0.25">
      <c r="A32" s="27"/>
      <c r="B32" s="27"/>
      <c r="C32" s="42"/>
      <c r="D32" s="43"/>
      <c r="J32" t="s">
        <v>139</v>
      </c>
      <c r="K32" s="18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0" t="s">
        <v>153</v>
      </c>
      <c r="M35" s="71">
        <f>Main!E11-IF(calc!P51&lt;1.25,calc!T8,calc!R8)</f>
        <v>199.68720023942839</v>
      </c>
      <c r="N35" s="6" t="s">
        <v>153</v>
      </c>
      <c r="O35" s="71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0">
        <f>INDEX(K36:K43,MATCH(Main!B9,calc!J36:J43,0))</f>
        <v>3.5</v>
      </c>
      <c r="N36" s="40" t="s">
        <v>135</v>
      </c>
      <c r="O36" s="71">
        <f>M36</f>
        <v>3.5</v>
      </c>
    </row>
    <row r="37" spans="10:16" x14ac:dyDescent="0.25">
      <c r="J37">
        <v>500</v>
      </c>
      <c r="K37">
        <v>3.3</v>
      </c>
      <c r="L37" s="40" t="s">
        <v>154</v>
      </c>
      <c r="M37" s="70">
        <f>Main!E7-Main!E3</f>
        <v>5</v>
      </c>
      <c r="N37" s="6" t="s">
        <v>155</v>
      </c>
      <c r="O37" s="70">
        <f>Main!E18*Main!C38</f>
        <v>189</v>
      </c>
    </row>
    <row r="38" spans="10:16" x14ac:dyDescent="0.25">
      <c r="J38">
        <v>1000</v>
      </c>
      <c r="K38">
        <v>3.5</v>
      </c>
      <c r="L38" s="40" t="s">
        <v>155</v>
      </c>
      <c r="M38" s="71">
        <f>(M36*M35)/M37</f>
        <v>139.78104016759988</v>
      </c>
      <c r="N38" s="6" t="s">
        <v>154</v>
      </c>
      <c r="O38" s="71">
        <f>(O36*O35)/O37</f>
        <v>3.69791111554497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1" t="s">
        <v>140</v>
      </c>
      <c r="N40" s="5">
        <f>N2*N3*($M$6^N5)</f>
        <v>9.6535309613245222</v>
      </c>
      <c r="O40" s="5">
        <f>O2*O3*($M$6^O5)</f>
        <v>0.95294921951126577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2" t="s">
        <v>141</v>
      </c>
      <c r="N41" s="33">
        <f>N4*N40</f>
        <v>13.198734010369495</v>
      </c>
      <c r="O41" s="33">
        <f>O4*O40</f>
        <v>2.9898469660893201</v>
      </c>
      <c r="P41" s="33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7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7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1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1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1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1"/>
      <c r="L51" s="27"/>
      <c r="M51" s="42"/>
      <c r="N51" s="57"/>
      <c r="O51" s="42" t="s">
        <v>136</v>
      </c>
      <c r="P51" s="9">
        <f>SUM(P46:P50)</f>
        <v>8.9699999999999989</v>
      </c>
    </row>
    <row r="52" spans="10:16" x14ac:dyDescent="0.25">
      <c r="J52" s="41"/>
    </row>
    <row r="53" spans="10:16" x14ac:dyDescent="0.25">
      <c r="J53" s="41"/>
    </row>
    <row r="54" spans="10:16" x14ac:dyDescent="0.25">
      <c r="J54" s="41"/>
    </row>
    <row r="55" spans="10:16" x14ac:dyDescent="0.25">
      <c r="J55" s="41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C25" sqref="C2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4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4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2019-11-14T12:04:55Z</dcterms:modified>
</cp:coreProperties>
</file>