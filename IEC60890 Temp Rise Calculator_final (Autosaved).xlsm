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N7" i="2" l="1"/>
  <c r="R6" i="2"/>
  <c r="R7" i="2" s="1"/>
  <c r="P4" i="2"/>
  <c r="P7" i="2"/>
  <c r="O4" i="2"/>
  <c r="L25" i="2" a="1"/>
  <c r="L25" i="2" s="1"/>
  <c r="O3" i="2"/>
  <c r="L12" i="2" a="1"/>
  <c r="L12" i="2" s="1"/>
  <c r="O2" i="2" s="1"/>
  <c r="N46" i="2"/>
  <c r="K19" i="2"/>
  <c r="N4" i="2" s="1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26" i="1" l="1"/>
  <c r="H30" i="1"/>
  <c r="L3" i="1"/>
  <c r="E10" i="1" l="1"/>
  <c r="E11" i="1" s="1"/>
  <c r="M6" i="2" s="1"/>
  <c r="P46" i="2" l="1"/>
  <c r="N48" i="2"/>
  <c r="P48" i="2" s="1"/>
  <c r="N47" i="2"/>
  <c r="P47" i="2" s="1"/>
  <c r="K32" i="2"/>
  <c r="P51" i="2" l="1"/>
  <c r="H5" i="1" s="1"/>
  <c r="T7" i="2"/>
  <c r="K25" i="2" l="1"/>
  <c r="S7" i="2" l="1"/>
  <c r="K12" i="2"/>
  <c r="N2" i="2"/>
  <c r="P2" i="2"/>
  <c r="P40" i="2" s="1"/>
  <c r="P41" i="2" s="1"/>
  <c r="N8" i="2" l="1"/>
  <c r="N40" i="2"/>
  <c r="N41" i="2" s="1"/>
  <c r="P8" i="2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<sst xmlns="http://schemas.openxmlformats.org/spreadsheetml/2006/main" count="384" uniqueCount="180">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</sst>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abSelected="1" zoomScaleNormal="100" workbookViewId="0">
      <selection activeCell="E10" sqref="E10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174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8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2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8.9699999999999989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/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9.6535309613245222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13.198734010369495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/>
      </c>
      <c r="E16" s="60" t="str">
        <f>IF(B3="Natural_Ventilation",E3+E13,"")</f>
        <v/>
      </c>
      <c r="F16" s="29" t="str">
        <f>IF(B3="Natural_Ventilation",CHAR(176)&amp;"C","")</f>
        <v/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3000</v>
      </c>
      <c r="C17" s="29" t="s">
        <v>45</v>
      </c>
      <c r="D17" s="46" t="str">
        <f>IF(B3="Forced_Ventilation","Fan Capacity","")</f>
        <v>Fan Capacity</v>
      </c>
      <c r="E17" s="60">
        <f>IF(B3="Forced_Ventilation",calc!M38,"")</f>
        <v>123.8060641484456</v>
      </c>
      <c r="F17" s="29" t="str">
        <f>IF(B3="Forced_Ventilation","m"&amp;CHAR(179)&amp;"/h","")</f>
        <v>m³/h</v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>Fan Qty</v>
      </c>
      <c r="E18" s="61">
        <f>IF(B3="Forced_Ventilation",IF(E17/C38 &gt;0,CEILING(E17/C38,1),0),"")</f>
        <v>1</v>
      </c>
      <c r="F18" s="54" t="str">
        <f>IF(B3="Forced_Ventilation","("&amp;B38&amp;")","")</f>
        <v>(PD120B-220 (38))</v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>Max. Temp.</v>
      </c>
      <c r="E19" s="77">
        <f>IF(B3="Forced_Ventilation",E3+calc!O38,"")</f>
        <v>38.275292702339833</v>
      </c>
      <c r="F19" s="29" t="str">
        <f>IF(B3="Forced_Ventilation",CHAR(176)&amp;"C","")</f>
        <v>°C</v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80" r:id="rId4" name="cmdDeletPowerloss">
          <controlPr defaultSize="0" autoLine="0" r:id="rId5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4" name="cmdDeletPowerloss"/>
      </mc:Fallback>
    </mc:AlternateContent>
    <mc:AlternateContent xmlns:mc="http://schemas.openxmlformats.org/markup-compatibility/2006">
      <mc:Choice Requires="x14">
        <control shapeId="1079" r:id="rId6" name="cmdClear_Loss">
          <controlPr defaultSize="0" autoLine="0" r:id="rId7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6" name="cmdClear_Loss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26" r:id="rId10" name="cmdCable_Add">
          <controlPr defaultSize="0" autoLine="0" r:id="rId11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10" name="cmdCable_Add"/>
      </mc:Fallback>
    </mc:AlternateContent>
    <mc:AlternateContent xmlns:mc="http://schemas.openxmlformats.org/markup-compatibility/2006">
      <mc:Choice Requires="x14">
        <control shapeId="1025" r:id="rId12" name="cmdBusbar_Add">
          <controlPr defaultSize="0" autoLine="0" r:id="rId13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12" name="cmdBusbar_Ad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opLeftCell="H1" zoomScaleNormal="100" workbookViewId="0">
      <selection activeCell="N5" sqref="N5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2" bestFit="1" customWidth="1"/>
    <col min="14" max="14" width="16.140625" bestFit="1" customWidth="1"/>
    <col min="15" max="15" width="18.285156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0.10260362643003328</v>
      </c>
      <c r="O2" s="27">
        <f>(INDEX(L14:X14,L12)+INDEX(L15:X15,L12)*Main!B7)/(1 + INDEX(calc!L16:X16,calc!L12)*Main!B7 +INDEX( calc!L17:X17,calc!L12)*(Main!B7)^2)*(0.33/0.38)+0.05</f>
        <v>0.22492850068588571</v>
      </c>
      <c r="P2" s="36">
        <f>70.2496526710266*(1+1.35363728862232*calc!P51/0.00227234009400175)^(-1/1.35363728862232)</f>
        <v>0.12378123795408041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31">
        <f>INDEX(L21:P21,K1)*EXP(-EXP(INDEX(L22:P22,K1)-INDEX(L23:P23,K1)*K19))*(0.6/1.6)+1</f>
        <v>1.3672441786583911</v>
      </c>
      <c r="O4" s="31">
        <f>(INDEX(L27:U27,L25)+INDEX(L28:U28,L25)*Main!B7)/(1 + INDEX(calc!L29:U29,calc!L25)*Main!B7 + INDEX(calc!L30:U30,calc!L25)*(Main!B7^2))</f>
        <v>1.31</v>
      </c>
      <c r="P4" s="37">
        <f>1.25746564411252/(1 + EXP(3.0499379294743-2.85423150337704*K32))^(1/13.3533620666701)</f>
        <v>1.2315205269785958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9.6535309613245222</v>
      </c>
      <c r="O7" s="5">
        <f>O2*O3*($M$6^O5)</f>
        <v>12.796930013467595</v>
      </c>
      <c r="P7" s="38">
        <f>P2*P3*($M$6^P5)</f>
        <v>11.646040735564338</v>
      </c>
      <c r="Q7" s="43" t="s">
        <v>140</v>
      </c>
      <c r="R7" s="5">
        <f>$R$6/N4</f>
        <v>3.6569912514868061</v>
      </c>
      <c r="S7" s="5">
        <f>$R$6/O4</f>
        <v>3.8167938931297707</v>
      </c>
      <c r="T7" s="38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35">
        <f>N4*N7</f>
        <v>13.198734010369495</v>
      </c>
      <c r="O8" s="35">
        <f>O7*O4</f>
        <v>16.76397831764255</v>
      </c>
      <c r="P8" s="39">
        <f>P7*P4</f>
        <v>14.342338223876387</v>
      </c>
      <c r="Q8" s="44" t="s">
        <v>145</v>
      </c>
      <c r="R8" s="35">
        <f>(R7/(N2*N3))^(1/N5)</f>
        <v>85.172621251799654</v>
      </c>
      <c r="S8" s="35">
        <f>(S7/(O2*O3))^(1/O5)</f>
        <v>52.456113738810053</v>
      </c>
      <c r="T8" s="35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3.8655327376965309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128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124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135</v>
      </c>
      <c r="K25" s="19">
        <f>K19</f>
        <v>3.8655327376965309</v>
      </c>
      <c r="L25" s="2">
        <f t="array" ref="L25">MATCH(MIN(ABS(L26:U26-K25)),ABS(L26:U26-K25),0)</f>
        <v>4</v>
      </c>
    </row>
    <row r="26" spans="1:24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139</v>
      </c>
      <c r="K32" s="19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199.68720023942839</v>
      </c>
      <c r="N35" s="6" t="s">
        <v>153</v>
      </c>
      <c r="O35" s="76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>
        <f>Main!E18*Main!C38</f>
        <v>189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123.8060641484456</v>
      </c>
      <c r="N38" s="6" t="s">
        <v>154</v>
      </c>
      <c r="O38" s="76">
        <f>(O36*O35)/O37</f>
        <v>3.2752927023398306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9.6535309613245222</v>
      </c>
      <c r="O40" s="5">
        <f>O2*O3*($M$6^O5)</f>
        <v>12.796930013467595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13.198734010369495</v>
      </c>
      <c r="O41" s="35">
        <f>O4*O40</f>
        <v>16.76397831764255</v>
      </c>
      <c r="P41" s="35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8.9699999999999989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2019-11-04T11:57:35Z</dcterms:modified>
</cp:coreProperties>
</file>