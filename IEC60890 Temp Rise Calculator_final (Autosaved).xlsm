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 activeTab="1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N8" i="2" l="1"/>
  <c r="N7" i="2"/>
  <c r="AB21" i="2"/>
  <c r="N4" i="2"/>
  <c r="K19" i="2"/>
  <c r="AB20" i="2"/>
  <c r="AB19" i="2" l="1"/>
  <c r="E11" i="1"/>
  <c r="N2" i="2"/>
  <c r="R6" i="2" l="1"/>
  <c r="R7" i="2" s="1"/>
  <c r="P4" i="2"/>
  <c r="P7" i="2"/>
  <c r="L25" i="2" a="1"/>
  <c r="O3" i="2"/>
  <c r="L12" i="2" a="1"/>
  <c r="L12" i="2" s="1"/>
  <c r="O2" i="2" s="1"/>
  <c r="N46" i="2"/>
  <c r="N3" i="2"/>
  <c r="O46" i="2" l="1"/>
  <c r="H11" i="1" l="1"/>
  <c r="H3" i="1"/>
  <c r="H9" i="1" l="1"/>
  <c r="H10" i="1"/>
  <c r="D16" i="1" l="1"/>
  <c r="M46" i="2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K1" i="2" l="1"/>
  <c r="H34" i="1"/>
  <c r="G32" i="1"/>
  <c r="H26" i="1" l="1"/>
  <c r="H30" i="1"/>
  <c r="L3" i="1"/>
  <c r="E10" i="1" l="1"/>
  <c r="M6" i="2" s="1"/>
  <c r="P46" i="2" l="1"/>
  <c r="N48" i="2"/>
  <c r="P48" i="2" s="1"/>
  <c r="N47" i="2"/>
  <c r="P47" i="2" s="1"/>
  <c r="K32" i="2"/>
  <c r="P51" i="2" l="1"/>
  <c r="H5" i="1" s="1"/>
  <c r="T7" i="2"/>
  <c r="K25" i="2" l="1"/>
  <c r="L25" i="2" s="1"/>
  <c r="O4" i="2" s="1"/>
  <c r="S7" i="2" l="1"/>
  <c r="K12" i="2"/>
  <c r="P2" i="2"/>
  <c r="P40" i="2" s="1"/>
  <c r="P41" i="2" s="1"/>
  <c r="N40" i="2" l="1"/>
  <c r="N41" i="2" s="1"/>
  <c r="P8" i="2"/>
  <c r="T8" i="2"/>
  <c r="R8" i="2"/>
  <c r="O7" i="2" l="1"/>
  <c r="O8" i="2" s="1"/>
  <c r="O40" i="2"/>
  <c r="O41" i="2" s="1"/>
  <c r="S8" i="2"/>
  <c r="E13" i="1"/>
  <c r="E16" i="1" s="1"/>
  <c r="M35" i="2"/>
  <c r="E12" i="1"/>
  <c r="M38" i="2" l="1"/>
  <c r="E17" i="1" s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<sst xmlns="http://schemas.openxmlformats.org/spreadsheetml/2006/main" count="384" uniqueCount="180">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</sst>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6" formatCode="0.0000000"/>
    <numFmt numFmtId="167" formatCode="0.00000000"/>
    <numFmt numFmtId="171" formatCode="0.000000000000"/>
    <numFmt numFmtId="190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167" fontId="0" fillId="0" borderId="0" xfId="0" applyNumberFormat="1"/>
    <xf numFmtId="190" fontId="0" fillId="0" borderId="0" xfId="0" applyNumberFormat="1"/>
    <xf numFmtId="171" fontId="0" fillId="0" borderId="0" xfId="0" applyNumberFormat="1" applyBorder="1"/>
    <xf numFmtId="166" fontId="0" fillId="0" borderId="10" xfId="0" applyNumberFormat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topLeftCell="C1" zoomScaleNormal="100" workbookViewId="0">
      <selection activeCell="E11" sqref="E11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0.140625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78" t="s">
        <v>174</v>
      </c>
      <c r="B1" s="79"/>
      <c r="C1" s="79"/>
      <c r="D1" s="79"/>
      <c r="E1" s="79"/>
      <c r="F1" s="79"/>
      <c r="G1" s="79"/>
      <c r="H1" s="79"/>
      <c r="I1" s="80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7</v>
      </c>
      <c r="C3" s="29"/>
      <c r="D3" s="46" t="s">
        <v>47</v>
      </c>
      <c r="E3" s="4">
        <v>35</v>
      </c>
      <c r="F3" s="29" t="s">
        <v>121</v>
      </c>
      <c r="G3" s="46" t="s">
        <v>46</v>
      </c>
      <c r="H3" s="8">
        <f>QUOTIENT(B17,1500)+IF(MOD(B17,1500)&gt;0,1,0)</f>
        <v>2</v>
      </c>
      <c r="I3" s="30"/>
      <c r="J3" s="29"/>
      <c r="K3" s="3" t="s">
        <v>4</v>
      </c>
      <c r="L3" s="12">
        <f>SUM(L4:L1048576)</f>
        <v>394.26964912280704</v>
      </c>
      <c r="M3" s="68" t="s">
        <v>118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147</v>
      </c>
      <c r="L4" s="31">
        <v>22.293333333333333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134</v>
      </c>
      <c r="H5" s="9">
        <f>calc!P51</f>
        <v>8.9699999999999989</v>
      </c>
      <c r="I5" s="30"/>
      <c r="J5" s="29"/>
      <c r="K5" s="67" t="s">
        <v>148</v>
      </c>
      <c r="L5" s="31">
        <v>35.526315789473685</v>
      </c>
      <c r="M5" s="68"/>
    </row>
    <row r="6" spans="1:13" x14ac:dyDescent="0.25">
      <c r="A6" s="28"/>
      <c r="B6" s="29"/>
      <c r="C6" s="29"/>
      <c r="I6" s="30"/>
      <c r="J6" s="29"/>
      <c r="K6" s="67" t="s">
        <v>149</v>
      </c>
      <c r="L6" s="31">
        <v>48.45</v>
      </c>
      <c r="M6" s="68"/>
    </row>
    <row r="7" spans="1:13" ht="17.25" x14ac:dyDescent="0.25">
      <c r="A7" s="50" t="str">
        <f>IF(B3="Natural_Ventilation","Louver Area","")</f>
        <v>Louver Area</v>
      </c>
      <c r="B7" s="4">
        <v>0</v>
      </c>
      <c r="C7" s="29" t="s">
        <v>156</v>
      </c>
      <c r="D7" s="46" t="s">
        <v>143</v>
      </c>
      <c r="E7" s="4">
        <v>40</v>
      </c>
      <c r="F7" t="s">
        <v>121</v>
      </c>
      <c r="I7" s="30"/>
      <c r="J7" s="29"/>
      <c r="K7" s="67" t="s">
        <v>142</v>
      </c>
      <c r="L7" s="31">
        <v>288</v>
      </c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150</v>
      </c>
      <c r="H9">
        <f>QUOTIENT(2200,1500)</f>
        <v>1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119</v>
      </c>
      <c r="E10" s="14">
        <f>L3</f>
        <v>394.26964912280704</v>
      </c>
      <c r="F10" s="29" t="s">
        <v>118</v>
      </c>
      <c r="H10">
        <f>MOD(2200,1500)</f>
        <v>700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120</v>
      </c>
      <c r="E11" s="14">
        <f>E10*(E5^2)</f>
        <v>284.85982149122805</v>
      </c>
      <c r="F11" s="29" t="s">
        <v>118</v>
      </c>
      <c r="H11">
        <f>QUOTIENT(1000,1500)+IF(MOD(1000,1500)&gt;0,1,0)</f>
        <v>1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140</v>
      </c>
      <c r="E12" s="20">
        <f>IF(calc!P51&lt;1.25,calc!P7,IF(AND(calc!P51&gt;1.25,Main!B7=0),calc!N7,calc!O7))</f>
        <v>9.6535309613245222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12</v>
      </c>
      <c r="C13" s="29"/>
      <c r="D13" s="15" t="s">
        <v>141</v>
      </c>
      <c r="E13" s="20">
        <f>IF(calc!P51&lt;1.25,calc!P8,IF(AND(calc!P51&gt;1.25,Main!B7=0),calc!N8,calc!O8))</f>
        <v>13.198734010369495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2200</v>
      </c>
      <c r="C16" s="29" t="s">
        <v>45</v>
      </c>
      <c r="D16" s="15" t="str">
        <f>IF(B3="Natural_Ventilation","Temp. of Max. Height","")</f>
        <v>Temp. of Max. Height</v>
      </c>
      <c r="E16" s="60">
        <f>IF(B3="Natural_Ventilation",E3+E13,"")</f>
        <v>48.198734010369492</v>
      </c>
      <c r="F16" s="29" t="str">
        <f>IF(B3="Natural_Ventilation",CHAR(176)&amp;"C","")</f>
        <v>°C</v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3000</v>
      </c>
      <c r="C17" s="29" t="s">
        <v>45</v>
      </c>
      <c r="D17" s="46" t="str">
        <f>IF(B3="Forced_Ventilation","Fan Capacity","")</f>
        <v/>
      </c>
      <c r="E17" s="60" t="str">
        <f>IF(B3="Forced_Ventilation",calc!M38,"")</f>
        <v/>
      </c>
      <c r="F17" s="29" t="str">
        <f>IF(B3="Forced_Ventilation","m"&amp;CHAR(179)&amp;"/h","")</f>
        <v/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500</v>
      </c>
      <c r="C18" s="29" t="s">
        <v>45</v>
      </c>
      <c r="D18" s="15" t="str">
        <f>IF(B3="Forced_Ventilation","Fan Qty","")</f>
        <v/>
      </c>
      <c r="E18" s="61" t="str">
        <f>IF(B3="Forced_Ventilation",IF(E17/C38 &gt;0,CEILING(E17/C38,1),0),"")</f>
        <v/>
      </c>
      <c r="F18" s="54" t="str">
        <f>IF(B3="Forced_Ventilation","("&amp;B38&amp;")","")</f>
        <v/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4" t="str">
        <f>IF(B3="Forced_Ventilation","Max. Temp.","")</f>
        <v/>
      </c>
      <c r="E19" s="77" t="str">
        <f>IF(B3="Forced_Ventilation",E3+calc!O38,"")</f>
        <v/>
      </c>
      <c r="F19" s="29" t="str">
        <f>IF(B3="Forced_Ventilation",CHAR(176)&amp;"C","")</f>
        <v/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3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2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159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160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176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80" r:id="rId4" name="cmdDeletPowerloss">
          <controlPr defaultSize="0" autoLine="0" r:id="rId5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4" name="cmdDeletPowerloss"/>
      </mc:Fallback>
    </mc:AlternateContent>
    <mc:AlternateContent xmlns:mc="http://schemas.openxmlformats.org/markup-compatibility/2006">
      <mc:Choice Requires="x14">
        <control shapeId="1079" r:id="rId6" name="cmdClear_Loss">
          <controlPr defaultSize="0" autoLine="0" r:id="rId7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6" name="cmdClear_Loss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26" r:id="rId10" name="cmdCable_Add">
          <controlPr defaultSize="0" autoLine="0" r:id="rId11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10" name="cmdCable_Add"/>
      </mc:Fallback>
    </mc:AlternateContent>
    <mc:AlternateContent xmlns:mc="http://schemas.openxmlformats.org/markup-compatibility/2006">
      <mc:Choice Requires="x14">
        <control shapeId="1025" r:id="rId12" name="cmdBusbar_Add">
          <controlPr defaultSize="0" autoLine="0" r:id="rId13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12" name="cmdBusbar_Ad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abSelected="1" topLeftCell="K1" zoomScaleNormal="100" workbookViewId="0">
      <selection activeCell="N8" sqref="N8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12" width="12.7109375" bestFit="1" customWidth="1"/>
    <col min="13" max="13" width="12" bestFit="1" customWidth="1"/>
    <col min="14" max="14" width="16.140625" bestFit="1" customWidth="1"/>
    <col min="15" max="15" width="18.28515625" bestFit="1" customWidth="1"/>
    <col min="16" max="16" width="10.5703125" customWidth="1"/>
    <col min="17" max="17" width="9.7109375" customWidth="1"/>
    <col min="18" max="18" width="10.7109375" customWidth="1"/>
    <col min="19" max="19" width="9.140625" customWidth="1"/>
    <col min="20" max="20" width="9" bestFit="1" customWidth="1"/>
    <col min="26" max="26" width="13.28515625" bestFit="1" customWidth="1"/>
    <col min="28" max="28" width="32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3"/>
      <c r="N1" s="24" t="s">
        <v>130</v>
      </c>
      <c r="O1" s="24" t="s">
        <v>131</v>
      </c>
      <c r="P1" s="25" t="s">
        <v>129</v>
      </c>
      <c r="Q1" s="23"/>
      <c r="R1" s="24" t="s">
        <v>130</v>
      </c>
      <c r="S1" s="24" t="s">
        <v>131</v>
      </c>
      <c r="T1" s="25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6" t="s">
        <v>122</v>
      </c>
      <c r="N2" s="27">
        <f>0.0459536911922546/(1  -0.987175746302811*EXP(-0.0647798482560785*calc!P51))</f>
        <v>0.10260362643003328</v>
      </c>
      <c r="O2" s="27">
        <f>(INDEX(L14:X14,L12)+INDEX(L15:X15,L12)*Main!B7)/(1 + INDEX(calc!L16:X16,calc!L12)*Main!B7 +INDEX( calc!L17:X17,calc!L12)*(Main!B7)^2)*(0.33/0.38)+0.05</f>
        <v>0.22492850068588571</v>
      </c>
      <c r="P2" s="36">
        <f>70.2496526710266*(1+1.35363728862232*calc!P51/0.00227234009400175)^(-1/1.35363728862232)</f>
        <v>0.12378123795408041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123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124</v>
      </c>
      <c r="N4" s="83">
        <f>INDEX(L21:P21,K1)*EXP(-EXP(INDEX(L22:P22,K1)-INDEX(L23:P23,K1)*K19))*(0.6/1.6)+1</f>
        <v>1.3672441786583911</v>
      </c>
      <c r="O4" s="31">
        <f>(INDEX(L27:U27,L25)+INDEX(L28:U28,L25)*Main!B7)/(1 + INDEX(calc!L29:U29,calc!L25)*Main!B7 + INDEX(calc!L30:U30,calc!L25)*(Main!B7^2))</f>
        <v>1.31</v>
      </c>
      <c r="P4" s="37">
        <f>1.25746564411252/(1 + EXP(3.0499379294743-2.85423150337704*K32))^(1/13.3533620666701)</f>
        <v>1.2315205269785958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9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125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157</v>
      </c>
      <c r="AH5" s="49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284.85982149122805</v>
      </c>
      <c r="N6" s="29"/>
      <c r="O6" s="29"/>
      <c r="P6" s="30"/>
      <c r="Q6" s="41" t="s">
        <v>141</v>
      </c>
      <c r="R6" s="42">
        <f>Main!E7-Main!E3</f>
        <v>5</v>
      </c>
      <c r="S6" s="29"/>
      <c r="T6" s="30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140</v>
      </c>
      <c r="N7" s="5">
        <f>N2*N3*($M$6^N5)</f>
        <v>9.6535309613245222</v>
      </c>
      <c r="O7" s="5">
        <f>O2*O3*($M$6^O5)</f>
        <v>12.796930013467595</v>
      </c>
      <c r="P7" s="38">
        <f>P2*P3*($M$6^P5)</f>
        <v>11.646040735564338</v>
      </c>
      <c r="Q7" s="43" t="s">
        <v>140</v>
      </c>
      <c r="R7" s="5">
        <f>$R$6/N4</f>
        <v>3.6569912514868061</v>
      </c>
      <c r="S7" s="5">
        <f>$R$6/O4</f>
        <v>3.8167938931297707</v>
      </c>
      <c r="T7" s="38">
        <f>$R$6/P4</f>
        <v>4.0600216484145548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141</v>
      </c>
      <c r="N8" s="84">
        <f>N4*N7</f>
        <v>13.198734010369495</v>
      </c>
      <c r="O8" s="35">
        <f>O7*O4</f>
        <v>16.76397831764255</v>
      </c>
      <c r="P8" s="39">
        <f>P7*P4</f>
        <v>14.342338223876387</v>
      </c>
      <c r="Q8" s="44" t="s">
        <v>145</v>
      </c>
      <c r="R8" s="35">
        <f>(R7/(N2*N3))^(1/N5)</f>
        <v>85.172621251799654</v>
      </c>
      <c r="S8" s="35">
        <f>(S7/(O2*O3))^(1/O5)</f>
        <v>52.456113738810053</v>
      </c>
      <c r="T8" s="35">
        <f>(T7/(P2*P3))^(1/P5)</f>
        <v>76.809481804502923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144</v>
      </c>
      <c r="Q9" s="22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8">
        <f>calc!P51</f>
        <v>8.9699999999999989</v>
      </c>
      <c r="L12" s="2">
        <f t="array" ref="L12">MATCH(MIN(ABS(L13:X13-K12)),ABS(L13:X13-K12),0)</f>
        <v>10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16">
        <v>0.4709155113008</v>
      </c>
      <c r="M14" s="16">
        <v>0.42578271643235799</v>
      </c>
      <c r="N14" s="16">
        <v>0.37829576210395</v>
      </c>
      <c r="O14" s="16">
        <v>0.35059531169307701</v>
      </c>
      <c r="P14" s="16">
        <v>0.323174016602576</v>
      </c>
      <c r="Q14" s="16">
        <v>0.29092262460784102</v>
      </c>
      <c r="R14" s="16">
        <v>0.26011744889404298</v>
      </c>
      <c r="S14" s="16">
        <v>0.240139182233822</v>
      </c>
      <c r="T14" s="16">
        <v>0.21907368551863099</v>
      </c>
      <c r="U14" s="16">
        <v>0.20143281897162599</v>
      </c>
      <c r="V14" s="16">
        <v>0.17347069514715999</v>
      </c>
      <c r="W14" s="16">
        <v>0.146222391627852</v>
      </c>
      <c r="X14" s="16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16">
        <v>-3.8301919075229402E-4</v>
      </c>
      <c r="M15" s="16">
        <v>-3.5941029420211498E-4</v>
      </c>
      <c r="N15" s="16">
        <v>-3.4025187812600899E-4</v>
      </c>
      <c r="O15" s="16">
        <v>-2.95688022480576E-4</v>
      </c>
      <c r="P15" s="16">
        <v>-2.81402417663993E-4</v>
      </c>
      <c r="Q15" s="16">
        <v>-2.5966938885320498E-4</v>
      </c>
      <c r="R15" s="16">
        <v>-2.2206483528250699E-4</v>
      </c>
      <c r="S15" s="16">
        <v>-2.2249010228530901E-4</v>
      </c>
      <c r="T15" s="16">
        <v>-1.9235220464129899E-4</v>
      </c>
      <c r="U15" s="16">
        <v>-1.7096880896183E-4</v>
      </c>
      <c r="V15" s="16">
        <v>-1.11141616585355E-4</v>
      </c>
      <c r="W15" s="16">
        <v>-1.0722019034465601E-4</v>
      </c>
      <c r="X15" s="16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16">
        <v>5.4640462193205801E-3</v>
      </c>
      <c r="M16" s="16">
        <v>5.5793244185667898E-3</v>
      </c>
      <c r="N16" s="16">
        <v>5.2625048523200404E-3</v>
      </c>
      <c r="O16" s="16">
        <v>5.2803442927133503E-3</v>
      </c>
      <c r="P16" s="16">
        <v>5.2766021425573297E-3</v>
      </c>
      <c r="Q16" s="16">
        <v>5.3124393459637199E-3</v>
      </c>
      <c r="R16" s="16">
        <v>5.1950454916009801E-3</v>
      </c>
      <c r="S16" s="16">
        <v>5.5100563224737302E-3</v>
      </c>
      <c r="T16" s="16">
        <v>5.3118389829225699E-3</v>
      </c>
      <c r="U16" s="16">
        <v>5.5165000598672497E-3</v>
      </c>
      <c r="V16" s="16">
        <v>5.34866001557599E-3</v>
      </c>
      <c r="W16" s="16">
        <v>4.8480736612526304E-3</v>
      </c>
      <c r="X16" s="16">
        <v>4.1928643893368303E-3</v>
      </c>
    </row>
    <row r="17" spans="1:28" x14ac:dyDescent="0.25">
      <c r="A17" s="2"/>
      <c r="E17" s="2" t="s">
        <v>83</v>
      </c>
      <c r="F17" s="2"/>
      <c r="G17" s="2"/>
      <c r="K17" t="s">
        <v>123</v>
      </c>
      <c r="L17" s="16">
        <v>-2.5664176144937902E-7</v>
      </c>
      <c r="M17" s="16">
        <v>-7.9719343011875101E-7</v>
      </c>
      <c r="N17" s="16">
        <v>-1.2171831789238501E-6</v>
      </c>
      <c r="O17" s="16">
        <v>-4.1769507660281098E-7</v>
      </c>
      <c r="P17" s="16">
        <v>-7.9865326270214198E-7</v>
      </c>
      <c r="Q17" s="16">
        <v>-1.27714466847515E-6</v>
      </c>
      <c r="R17" s="16">
        <v>-7.7117000985704495E-7</v>
      </c>
      <c r="S17" s="16">
        <v>-2.1385688015536698E-6</v>
      </c>
      <c r="T17" s="16">
        <v>-9.3391929386103701E-7</v>
      </c>
      <c r="U17" s="16">
        <v>-4.6067519505801398E-7</v>
      </c>
      <c r="V17" s="16">
        <v>3.0078373887601099E-6</v>
      </c>
      <c r="W17" s="16">
        <v>1.96270759315801E-6</v>
      </c>
      <c r="X17" s="16">
        <v>1.12690870500046E-6</v>
      </c>
    </row>
    <row r="18" spans="1:28" x14ac:dyDescent="0.25">
      <c r="A18" s="2"/>
      <c r="E18" s="2" t="s">
        <v>81</v>
      </c>
      <c r="F18" s="2"/>
      <c r="G18" s="2"/>
    </row>
    <row r="19" spans="1:28" x14ac:dyDescent="0.25">
      <c r="A19" s="2"/>
      <c r="E19" s="10" t="s">
        <v>106</v>
      </c>
      <c r="F19" s="2"/>
      <c r="G19" s="2"/>
      <c r="J19" t="s">
        <v>135</v>
      </c>
      <c r="K19" s="19">
        <f>((Main!B16/1000)^(1.35))/calc!N46</f>
        <v>3.8655327376965309</v>
      </c>
      <c r="AB19" s="81">
        <f>-EXP(INDEX(L22:P22,K1)-INDEX(L23:P23,K1)*K19)</f>
        <v>-0.61422590748822736</v>
      </c>
    </row>
    <row r="20" spans="1:28" x14ac:dyDescent="0.25">
      <c r="A20" s="29"/>
      <c r="B20" s="29"/>
      <c r="C20" s="29"/>
      <c r="D20" s="29"/>
      <c r="E20" s="29"/>
      <c r="F20" s="29"/>
      <c r="G20" s="29"/>
      <c r="K20" t="s">
        <v>137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  <c r="AB20">
        <f>((Main!B16/1000)^(1.35))/calc!N46</f>
        <v>3.8655327376965309</v>
      </c>
    </row>
    <row r="21" spans="1:28" x14ac:dyDescent="0.25">
      <c r="A21" s="29"/>
      <c r="B21" s="29"/>
      <c r="C21" s="29"/>
      <c r="D21" s="29"/>
      <c r="K21" t="s">
        <v>128</v>
      </c>
      <c r="L21" s="82">
        <v>1.81</v>
      </c>
      <c r="M21" s="82">
        <v>1.77</v>
      </c>
      <c r="N21" s="82">
        <v>1.72</v>
      </c>
      <c r="O21" s="82">
        <v>1.62</v>
      </c>
      <c r="P21" s="82">
        <v>1.52</v>
      </c>
      <c r="Q21" s="13"/>
      <c r="AB21" s="82">
        <f>INDEX(L22:P22,K1)-INDEX(L23:P23,K1)</f>
        <v>3.7000000000000005E-2</v>
      </c>
    </row>
    <row r="22" spans="1:28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82">
        <v>0.22</v>
      </c>
      <c r="M22" s="82">
        <v>0.26800000000000002</v>
      </c>
      <c r="N22" s="82">
        <v>0.316</v>
      </c>
      <c r="O22" s="82">
        <v>0.375</v>
      </c>
      <c r="P22" s="82">
        <v>0.52600000000000002</v>
      </c>
      <c r="Q22" s="13"/>
    </row>
    <row r="23" spans="1:28" x14ac:dyDescent="0.25">
      <c r="A23" t="s">
        <v>89</v>
      </c>
      <c r="B23" t="s">
        <v>99</v>
      </c>
      <c r="C23" t="s">
        <v>107</v>
      </c>
      <c r="K23" t="s">
        <v>124</v>
      </c>
      <c r="L23" s="82">
        <v>0.183</v>
      </c>
      <c r="M23" s="82">
        <v>0.185</v>
      </c>
      <c r="N23" s="82">
        <v>0.191</v>
      </c>
      <c r="O23" s="82">
        <v>0.20300000000000001</v>
      </c>
      <c r="P23" s="82">
        <v>0.21</v>
      </c>
      <c r="Q23" s="13"/>
    </row>
    <row r="24" spans="1:28" x14ac:dyDescent="0.25">
      <c r="A24" t="s">
        <v>91</v>
      </c>
      <c r="B24" t="s">
        <v>102</v>
      </c>
      <c r="C24" t="s">
        <v>108</v>
      </c>
      <c r="L24" s="13"/>
      <c r="M24" s="13"/>
      <c r="N24" s="13"/>
      <c r="O24" s="13"/>
      <c r="P24" s="13"/>
      <c r="Q24" s="13"/>
    </row>
    <row r="25" spans="1:28" x14ac:dyDescent="0.25">
      <c r="B25" t="s">
        <v>105</v>
      </c>
      <c r="J25" t="s">
        <v>135</v>
      </c>
      <c r="K25" s="19">
        <f>K19</f>
        <v>3.8655327376965309</v>
      </c>
      <c r="L25" s="2">
        <f t="array" ref="L25">MATCH(MIN(ABS(L26:U26-K25)),ABS(L26:U26-K25),0)</f>
        <v>4</v>
      </c>
    </row>
    <row r="26" spans="1:28" x14ac:dyDescent="0.25">
      <c r="A26" s="29"/>
      <c r="B26" s="29"/>
      <c r="C26" s="29"/>
      <c r="D26" s="29"/>
      <c r="K26" t="s">
        <v>138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8" x14ac:dyDescent="0.25">
      <c r="A27" s="29"/>
      <c r="B27" s="29"/>
      <c r="C27" s="29"/>
      <c r="D27" s="29"/>
      <c r="K27" t="s">
        <v>128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8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8" x14ac:dyDescent="0.25">
      <c r="A29" s="29"/>
      <c r="B29" s="29"/>
      <c r="C29" s="29"/>
      <c r="D29" s="29"/>
      <c r="K29" t="s">
        <v>124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8" x14ac:dyDescent="0.25">
      <c r="A30" s="29"/>
      <c r="B30" s="29"/>
      <c r="C30" s="29"/>
      <c r="D30" s="29"/>
      <c r="K30" t="s">
        <v>123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8" x14ac:dyDescent="0.25">
      <c r="A31" s="29"/>
      <c r="B31" s="29"/>
      <c r="C31" s="29"/>
      <c r="D31" s="29"/>
    </row>
    <row r="32" spans="1:28" x14ac:dyDescent="0.25">
      <c r="A32" s="29"/>
      <c r="B32" s="29"/>
      <c r="C32" s="47"/>
      <c r="D32" s="48"/>
      <c r="J32" t="s">
        <v>139</v>
      </c>
      <c r="K32" s="19">
        <f>Main!B16/(Main!B17/Main!H3)</f>
        <v>1.4666666666666666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5" t="s">
        <v>153</v>
      </c>
      <c r="M35" s="76">
        <f>Main!E11-IF(calc!P51&lt;1.25,calc!T8,calc!R8)</f>
        <v>199.68720023942839</v>
      </c>
      <c r="N35" s="6" t="s">
        <v>153</v>
      </c>
      <c r="O35" s="76">
        <f>M35</f>
        <v>199.68720023942839</v>
      </c>
    </row>
    <row r="36" spans="10:16" x14ac:dyDescent="0.25">
      <c r="J36">
        <v>0</v>
      </c>
      <c r="K36">
        <v>3.1</v>
      </c>
      <c r="L36" s="6" t="s">
        <v>135</v>
      </c>
      <c r="M36" s="75">
        <f>INDEX(K36:K43,MATCH(Main!B9,calc!J36:J43,0))</f>
        <v>3.1</v>
      </c>
      <c r="N36" s="45" t="s">
        <v>135</v>
      </c>
      <c r="O36" s="76">
        <f>M36</f>
        <v>3.1</v>
      </c>
    </row>
    <row r="37" spans="10:16" x14ac:dyDescent="0.25">
      <c r="J37">
        <v>500</v>
      </c>
      <c r="K37">
        <v>3.3</v>
      </c>
      <c r="L37" s="45" t="s">
        <v>154</v>
      </c>
      <c r="M37" s="75">
        <f>Main!E7-Main!E3</f>
        <v>5</v>
      </c>
      <c r="N37" s="6" t="s">
        <v>155</v>
      </c>
      <c r="O37" s="75" t="e">
        <f>Main!E18*Main!C38</f>
        <v>#VALUE!</v>
      </c>
    </row>
    <row r="38" spans="10:16" x14ac:dyDescent="0.25">
      <c r="J38">
        <v>1000</v>
      </c>
      <c r="K38">
        <v>3.5</v>
      </c>
      <c r="L38" s="45" t="s">
        <v>155</v>
      </c>
      <c r="M38" s="76">
        <f>(M36*M35)/M37</f>
        <v>123.8060641484456</v>
      </c>
      <c r="N38" s="6" t="s">
        <v>154</v>
      </c>
      <c r="O38" s="76" t="e">
        <f>(O36*O35)/O37</f>
        <v>#VALUE!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140</v>
      </c>
      <c r="N40" s="5">
        <f>N2*N3*($M$6^N5)</f>
        <v>9.6535309613245222</v>
      </c>
      <c r="O40" s="5">
        <f>O2*O3*($M$6^O5)</f>
        <v>12.796930013467595</v>
      </c>
      <c r="P40" s="5">
        <f>P2*P3*($M$6^P5)</f>
        <v>11.646040735564338</v>
      </c>
    </row>
    <row r="41" spans="10:16" ht="15.75" thickBot="1" x14ac:dyDescent="0.3">
      <c r="J41">
        <v>2500</v>
      </c>
      <c r="K41">
        <v>4.4000000000000004</v>
      </c>
      <c r="M41" s="34" t="s">
        <v>141</v>
      </c>
      <c r="N41" s="35">
        <f>N4*N40</f>
        <v>13.198734010369495</v>
      </c>
      <c r="O41" s="35">
        <f>O4*O40</f>
        <v>16.76397831764255</v>
      </c>
      <c r="P41" s="35">
        <f>P4*P40</f>
        <v>14.342338223876387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0.75</v>
      </c>
      <c r="O46" s="2">
        <f>IF(M46="Exposed",1.4,0.7)</f>
        <v>1.4</v>
      </c>
      <c r="P46" s="5">
        <f>N46*O46</f>
        <v>1.0499999999999998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3.3</v>
      </c>
      <c r="O47" s="2">
        <f>IF(M47="Exposed",0.9,0.5)</f>
        <v>0.9</v>
      </c>
      <c r="P47" s="5">
        <f>N47*O47</f>
        <v>2.9699999999999998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3.3</v>
      </c>
      <c r="O48" s="2">
        <f>IF(M48="Exposed",0.9,0.5)</f>
        <v>0.9</v>
      </c>
      <c r="P48" s="5">
        <f>N48*O48</f>
        <v>2.9699999999999998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6"/>
      <c r="L51" s="29"/>
      <c r="M51" s="47"/>
      <c r="N51" s="62"/>
      <c r="O51" s="47" t="s">
        <v>136</v>
      </c>
      <c r="P51" s="9">
        <f>SUM(P46:P50)</f>
        <v>8.9699999999999989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C25" sqref="C25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9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9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2019-11-13T05:29:50Z</dcterms:modified>
</cp:coreProperties>
</file>