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H11" i="1" l="1"/>
  <c r="H3" i="1"/>
  <c r="H9" i="1" l="1"/>
  <c r="H10" i="1"/>
  <c r="D16" i="1" l="1"/>
  <c r="M46" i="2"/>
  <c r="O46" i="2" s="1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R6" i="2"/>
  <c r="O3" i="2" l="1"/>
  <c r="L25" i="2" a="1"/>
  <c r="K1" i="2"/>
  <c r="N3" i="2"/>
  <c r="L12" i="2" a="1"/>
  <c r="H34" i="1"/>
  <c r="G32" i="1"/>
  <c r="H26" i="1" l="1"/>
  <c r="H30" i="1"/>
  <c r="L3" i="1"/>
  <c r="E10" i="1" l="1"/>
  <c r="E11" i="1" s="1"/>
  <c r="M6" i="2" s="1"/>
  <c r="N46" i="2" l="1"/>
  <c r="P46" i="2" s="1"/>
  <c r="N48" i="2"/>
  <c r="P48" i="2" s="1"/>
  <c r="N47" i="2"/>
  <c r="P47" i="2" s="1"/>
  <c r="K32" i="2"/>
  <c r="P4" i="2" s="1"/>
  <c r="P51" i="2" l="1"/>
  <c r="H5" i="1" s="1"/>
  <c r="T7" i="2"/>
  <c r="K19" i="2"/>
  <c r="N4" i="2" s="1"/>
  <c r="R7" i="2" l="1"/>
  <c r="K25" i="2"/>
  <c r="L25" i="2" s="1"/>
  <c r="O4" i="2" s="1"/>
  <c r="S7" i="2" l="1"/>
  <c r="K12" i="2"/>
  <c r="N2" i="2"/>
  <c r="P2" i="2"/>
  <c r="P40" i="2" s="1"/>
  <c r="P41" i="2" s="1"/>
  <c r="N7" i="2" l="1"/>
  <c r="N8" i="2" s="1"/>
  <c r="N40" i="2"/>
  <c r="N41" i="2" s="1"/>
  <c r="L12" i="2"/>
  <c r="O2" i="2" s="1"/>
  <c r="P7" i="2"/>
  <c r="P8" i="2" s="1"/>
  <c r="T8" i="2"/>
  <c r="R8" i="2"/>
  <c r="O7" i="2" l="1"/>
  <c r="O8" i="2" s="1"/>
  <c r="O40" i="2"/>
  <c r="O41" i="2" s="1"/>
  <c r="S8" i="2"/>
  <c r="E13" i="1"/>
  <c r="E16" i="1" s="1"/>
  <c r="M35" i="2"/>
  <c r="E12" i="1"/>
  <c r="M38" i="2" l="1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<sst xmlns="http://schemas.openxmlformats.org/spreadsheetml/2006/main" count="384" uniqueCount="180">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</sst>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abSelected="1" zoomScaleNormal="100" workbookViewId="0">
      <selection activeCell="B3" sqref="B3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174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7</v>
      </c>
      <c r="C3" s="29"/>
      <c r="D3" s="46" t="s">
        <v>47</v>
      </c>
      <c r="E3" s="4">
        <v>35</v>
      </c>
      <c r="F3" s="29" t="s">
        <v>121</v>
      </c>
      <c r="G3" s="46" t="s">
        <v>46</v>
      </c>
      <c r="H3" s="8">
        <f>QUOTIENT(B17,1500)+IF(MOD(B17,1500)&gt;0,1,0)</f>
        <v>1</v>
      </c>
      <c r="I3" s="30"/>
      <c r="J3" s="29"/>
      <c r="K3" s="3" t="s">
        <v>4</v>
      </c>
      <c r="L3" s="12">
        <f>SUM(L4:L1048576)</f>
        <v>394.26964912280704</v>
      </c>
      <c r="M3" s="68" t="s">
        <v>118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147</v>
      </c>
      <c r="L4" s="31">
        <v>22.293333333333333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134</v>
      </c>
      <c r="H5" s="9">
        <f>calc!P51</f>
        <v>6.6400000000000006</v>
      </c>
      <c r="I5" s="30"/>
      <c r="J5" s="29"/>
      <c r="K5" s="67" t="s">
        <v>148</v>
      </c>
      <c r="L5" s="31">
        <v>35.526315789473685</v>
      </c>
      <c r="M5" s="68"/>
    </row>
    <row r="6" spans="1:13" x14ac:dyDescent="0.25">
      <c r="A6" s="28"/>
      <c r="B6" s="29"/>
      <c r="C6" s="29"/>
      <c r="I6" s="30"/>
      <c r="J6" s="29"/>
      <c r="K6" s="67" t="s">
        <v>149</v>
      </c>
      <c r="L6" s="31">
        <v>48.45</v>
      </c>
      <c r="M6" s="68"/>
    </row>
    <row r="7" spans="1:13" ht="17.25" x14ac:dyDescent="0.25">
      <c r="A7" s="50" t="str">
        <f>IF(B3="Natural_Ventilation","Louver Area","")</f>
        <v>Louver Area</v>
      </c>
      <c r="B7" s="4">
        <v>0</v>
      </c>
      <c r="C7" s="29" t="s">
        <v>156</v>
      </c>
      <c r="D7" s="46" t="s">
        <v>143</v>
      </c>
      <c r="E7" s="4">
        <v>40</v>
      </c>
      <c r="F7" t="s">
        <v>121</v>
      </c>
      <c r="I7" s="30"/>
      <c r="J7" s="29"/>
      <c r="K7" s="67" t="s">
        <v>142</v>
      </c>
      <c r="L7" s="31">
        <v>288</v>
      </c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150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119</v>
      </c>
      <c r="E10" s="14">
        <f>L3</f>
        <v>394.26964912280704</v>
      </c>
      <c r="F10" s="29" t="s">
        <v>118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120</v>
      </c>
      <c r="E11" s="14">
        <f>E10*(E5^2)</f>
        <v>284.85982149122805</v>
      </c>
      <c r="F11" s="29" t="s">
        <v>118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140</v>
      </c>
      <c r="E12" s="20">
        <f>IF(calc!P51&lt;1.25,calc!P7,IF(AND(calc!P51&gt;1.25,Main!B7=0),calc!N7,calc!O7))</f>
        <v>12.079683886660252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12</v>
      </c>
      <c r="C13" s="29"/>
      <c r="D13" s="15" t="s">
        <v>141</v>
      </c>
      <c r="E13" s="20">
        <f>IF(calc!P51&lt;1.25,calc!P8,IF(AND(calc!P51&gt;1.25,Main!B7=0),calc!N8,calc!O8))</f>
        <v>17.406649942997714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>Temp. of Max. Height</v>
      </c>
      <c r="E16" s="60">
        <f>IF(B3="Natural_Ventilation",E3+E13,"")</f>
        <v>52.406649942997717</v>
      </c>
      <c r="F16" s="29" t="str">
        <f>IF(B3="Natural_Ventilation",CHAR(176)&amp;"C","")</f>
        <v>°C</v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1000</v>
      </c>
      <c r="C17" s="29" t="s">
        <v>45</v>
      </c>
      <c r="D17" s="46" t="str">
        <f>IF(B3="Forced_Ventilation","Fan Capacity","")</f>
        <v/>
      </c>
      <c r="E17" s="60" t="str">
        <f>IF(B3="Forced_Ventilation",calc!M38,"")</f>
        <v/>
      </c>
      <c r="F17" s="29" t="str">
        <f>IF(B3="Forced_Ventilation","m"&amp;CHAR(179)&amp;"/h","")</f>
        <v/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/>
      </c>
      <c r="E18" s="61" t="str">
        <f>IF(B3="Forced_Ventilation",IF(E17/C38 &gt;0,CEILING(E17/C38,1),0),"")</f>
        <v/>
      </c>
      <c r="F18" s="54" t="str">
        <f>IF(B3="Forced_Ventilation","("&amp;B38&amp;")","")</f>
        <v/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/>
      </c>
      <c r="E19" s="77" t="str">
        <f>IF(B3="Forced_Ventilation",E3+calc!O38,"")</f>
        <v/>
      </c>
      <c r="F19" s="29" t="str">
        <f>IF(B3="Forced_Ventilation",CHAR(176)&amp;"C","")</f>
        <v/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159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160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Busbar_Add">
          <controlPr defaultSize="0" autoLine="0" r:id="rId5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4" name="cmdBusbar_Add"/>
      </mc:Fallback>
    </mc:AlternateContent>
    <mc:AlternateContent xmlns:mc="http://schemas.openxmlformats.org/markup-compatibility/2006">
      <mc:Choice Requires="x14">
        <control shapeId="1026" r:id="rId6" name="cmdCable_Add">
          <controlPr defaultSize="0" autoLine="0" r:id="rId7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6" name="cmdCable_Add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79" r:id="rId10" name="cmdClear_Loss">
          <controlPr defaultSize="0" autoLine="0" r:id="rId11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10" name="cmdClear_Loss"/>
      </mc:Fallback>
    </mc:AlternateContent>
    <mc:AlternateContent xmlns:mc="http://schemas.openxmlformats.org/markup-compatibility/2006">
      <mc:Choice Requires="x14">
        <control shapeId="1080" r:id="rId12" name="cmdDeletPowerloss">
          <controlPr defaultSize="0" autoLine="0" r:id="rId13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12" name="cmdDeletPowerloss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opLeftCell="C37" zoomScaleNormal="100" workbookViewId="0">
      <selection activeCell="Y4" sqref="Y4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0.28515625" bestFit="1" customWidth="1"/>
    <col min="14" max="14" width="16.140625" bestFit="1" customWidth="1"/>
    <col min="15" max="15" width="13.42578125" bestFit="1" customWidth="1"/>
    <col min="16" max="16" width="10.5703125" customWidth="1"/>
    <col min="17" max="17" width="9.7109375" customWidth="1"/>
    <col min="18" max="18" width="10.7109375" customWidth="1"/>
    <col min="19" max="19" width="9.140625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3"/>
      <c r="N1" s="24" t="s">
        <v>130</v>
      </c>
      <c r="O1" s="24" t="s">
        <v>131</v>
      </c>
      <c r="P1" s="25" t="s">
        <v>129</v>
      </c>
      <c r="Q1" s="23"/>
      <c r="R1" s="24" t="s">
        <v>130</v>
      </c>
      <c r="S1" s="24" t="s">
        <v>131</v>
      </c>
      <c r="T1" s="25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6" t="s">
        <v>122</v>
      </c>
      <c r="N2" s="27">
        <f>0.0459536911922546/(1  -0.987175746302811*EXP(-0.0647798482560785*calc!P51))</f>
        <v>0.12839026236776321</v>
      </c>
      <c r="O2" s="27">
        <f>(INDEX(L14:X14,L12)+INDEX(L15:X15,L12)*Main!B7)/(1 + INDEX(calc!L16:X16,calc!L12)*Main!B7 +INDEX( calc!L17:X17,calc!L12)*(Main!B7)^2)*(0.33/0.38)+0.05</f>
        <v>0.24024820058196905</v>
      </c>
      <c r="P2" s="36">
        <f>70.2496526710266*(1+1.35363728862232*calc!P51/0.00227234009400175)^(-1/1.35363728862232)</f>
        <v>0.15457261336421646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123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124</v>
      </c>
      <c r="N4" s="31">
        <f>INDEX(L21:P21,K1)*EXP(-EXP(INDEX(L22:P22,K1)-INDEX(L23:P23,K1)*K19))*(0.6/1.6)+1</f>
        <v>1.4409855511384777</v>
      </c>
      <c r="O4" s="31">
        <f>(INDEX(L27:U27,L25)+INDEX(L28:U28,L25)*Main!B7)/(1 + INDEX(calc!L29:U29,calc!L25)*Main!B7 + INDEX(calc!L30:U30,calc!L25)*(Main!B7^2))</f>
        <v>1.4</v>
      </c>
      <c r="P4" s="37">
        <f>1.25746564411252/(1 + EXP(3.0499379294743-2.85423150337704*K32))^(1/13.3533620666701)</f>
        <v>1.2538154202121952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9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125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157</v>
      </c>
      <c r="AH5" s="49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284.85982149122805</v>
      </c>
      <c r="N6" s="29"/>
      <c r="O6" s="29"/>
      <c r="P6" s="30"/>
      <c r="Q6" s="41" t="s">
        <v>141</v>
      </c>
      <c r="R6" s="42">
        <f>Main!E7-Main!E3</f>
        <v>5</v>
      </c>
      <c r="S6" s="29"/>
      <c r="T6" s="30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140</v>
      </c>
      <c r="N7" s="5">
        <f>N2*N3*($M$6^N5)</f>
        <v>12.079683886660252</v>
      </c>
      <c r="O7" s="5">
        <f t="shared" ref="O7:P7" si="0">O2*O3*($M$6^O5)</f>
        <v>13.668518659636021</v>
      </c>
      <c r="P7" s="38">
        <f t="shared" si="0"/>
        <v>14.543067928518482</v>
      </c>
      <c r="Q7" s="43" t="s">
        <v>140</v>
      </c>
      <c r="R7" s="5">
        <f>$R$6/N4</f>
        <v>3.4698474221685678</v>
      </c>
      <c r="S7" s="5">
        <f t="shared" ref="S7:T7" si="1">$R$6/O4</f>
        <v>3.5714285714285716</v>
      </c>
      <c r="T7" s="38">
        <f t="shared" si="1"/>
        <v>3.987827808940013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141</v>
      </c>
      <c r="N8" s="35">
        <f>N4*N7</f>
        <v>17.406649942997714</v>
      </c>
      <c r="O8" s="35">
        <f>O7*O4</f>
        <v>19.135926123490428</v>
      </c>
      <c r="P8" s="39">
        <f>P7*P4</f>
        <v>18.234322825969901</v>
      </c>
      <c r="Q8" s="44" t="s">
        <v>145</v>
      </c>
      <c r="R8" s="35">
        <f>(R7/(N2*N3))^(1/N5)</f>
        <v>60.369665704075096</v>
      </c>
      <c r="S8" s="35">
        <f t="shared" ref="S8:T8" si="2">(S7/(O2*O3))^(1/O5)</f>
        <v>43.592837641446991</v>
      </c>
      <c r="T8" s="35">
        <f t="shared" si="2"/>
        <v>56.980489926692691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144</v>
      </c>
      <c r="Q9" s="22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8">
        <f>calc!P51</f>
        <v>6.6400000000000006</v>
      </c>
      <c r="L12" s="2">
        <f t="array" ref="L12">MATCH(MIN(ABS(L13:X13-K12)),ABS(L13:X13-K12),0)</f>
        <v>9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123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135</v>
      </c>
      <c r="K19" s="19">
        <f>((Main!B16/1000)^(1.35))/calc!N46</f>
        <v>5.7982991065447962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137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128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124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135</v>
      </c>
      <c r="K25" s="19">
        <f>K19</f>
        <v>5.7982991065447962</v>
      </c>
      <c r="L25" s="2">
        <f t="array" ref="L25">MATCH(MIN(ABS(L26:U26-K25)),ABS(L26:U26-K25),0)</f>
        <v>6</v>
      </c>
    </row>
    <row r="26" spans="1:24" x14ac:dyDescent="0.25">
      <c r="A26" s="29"/>
      <c r="B26" s="29"/>
      <c r="C26" s="29"/>
      <c r="D26" s="29"/>
      <c r="K26" t="s">
        <v>138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128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124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123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139</v>
      </c>
      <c r="K32" s="19">
        <f>Main!B16/(Main!B17/Main!H3)</f>
        <v>2.2000000000000002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5" t="s">
        <v>153</v>
      </c>
      <c r="M35" s="76">
        <f>Main!E11-IF(calc!P51&lt;1.25,calc!T8,calc!R8)</f>
        <v>224.49015578715296</v>
      </c>
      <c r="N35" s="6" t="s">
        <v>153</v>
      </c>
      <c r="O35" s="76">
        <f>M35</f>
        <v>224.49015578715296</v>
      </c>
    </row>
    <row r="36" spans="10:16" x14ac:dyDescent="0.25">
      <c r="J36">
        <v>0</v>
      </c>
      <c r="K36">
        <v>3.1</v>
      </c>
      <c r="L36" s="6" t="s">
        <v>135</v>
      </c>
      <c r="M36" s="75">
        <f>INDEX(K36:K43,MATCH(Main!B9,calc!J36:J43,0))</f>
        <v>3.1</v>
      </c>
      <c r="N36" s="45" t="s">
        <v>135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154</v>
      </c>
      <c r="M37" s="75">
        <f>Main!E7-Main!E3</f>
        <v>5</v>
      </c>
      <c r="N37" s="6" t="s">
        <v>155</v>
      </c>
      <c r="O37" s="75" t="e">
        <f>Main!E18*Main!C38</f>
        <v>#VALUE!</v>
      </c>
    </row>
    <row r="38" spans="10:16" x14ac:dyDescent="0.25">
      <c r="J38">
        <v>1000</v>
      </c>
      <c r="K38">
        <v>3.5</v>
      </c>
      <c r="L38" s="45" t="s">
        <v>155</v>
      </c>
      <c r="M38" s="76">
        <f>(M36*M35)/M37</f>
        <v>139.18389658803483</v>
      </c>
      <c r="N38" s="6" t="s">
        <v>154</v>
      </c>
      <c r="O38" s="76" t="e">
        <f>(O36*O35)/O37</f>
        <v>#VALUE!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140</v>
      </c>
      <c r="N40" s="5">
        <f>N2*N3*($M$6^N5)</f>
        <v>12.079683886660252</v>
      </c>
      <c r="O40" s="5">
        <f t="shared" ref="O40:P40" si="3">O2*O3*($M$6^O5)</f>
        <v>13.668518659636021</v>
      </c>
      <c r="P40" s="5">
        <f t="shared" si="3"/>
        <v>14.543067928518482</v>
      </c>
    </row>
    <row r="41" spans="10:16" ht="15.75" thickBot="1" x14ac:dyDescent="0.3">
      <c r="J41">
        <v>2500</v>
      </c>
      <c r="K41">
        <v>4.4000000000000004</v>
      </c>
      <c r="M41" s="34" t="s">
        <v>141</v>
      </c>
      <c r="N41" s="35">
        <f>N4*N40</f>
        <v>17.406649942997714</v>
      </c>
      <c r="O41" s="35">
        <f t="shared" ref="O41:P41" si="4">O4*O40</f>
        <v>19.135926123490428</v>
      </c>
      <c r="P41" s="35">
        <f t="shared" si="4"/>
        <v>18.234322825969901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0.5</v>
      </c>
      <c r="O46" s="2">
        <f>IF(M46="Exposed",1.4,0.7)</f>
        <v>1.4</v>
      </c>
      <c r="P46" s="5">
        <f>N46*O46</f>
        <v>0.7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2.2000000000000002</v>
      </c>
      <c r="O47" s="2">
        <f>IF(M47="Exposed",0.9,0.5)</f>
        <v>0.9</v>
      </c>
      <c r="P47" s="5">
        <f>N47*O47</f>
        <v>1.9800000000000002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2.2000000000000002</v>
      </c>
      <c r="O48" s="2">
        <f>IF(M48="Exposed",0.9,0.5)</f>
        <v>0.9</v>
      </c>
      <c r="P48" s="5">
        <f>N48*O48</f>
        <v>1.9800000000000002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136</v>
      </c>
      <c r="P51" s="9">
        <f>SUM(P46:P50)</f>
        <v>6.6400000000000006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N17" sqref="N17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9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9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2019-10-17T12:03:21Z</dcterms:modified>
</cp:coreProperties>
</file>