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H9" i="1" l="1"/>
  <c r="H11" i="1"/>
  <c r="H3" i="1"/>
  <c r="H10" i="1"/>
  <c r="D16" i="1" l="1"/>
  <c r="M46" i="2"/>
  <c r="O46" i="2" s="1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R6" i="2"/>
  <c r="O3" i="2" l="1"/>
  <c r="L25" i="2" a="1"/>
  <c r="K1" i="2"/>
  <c r="N3" i="2"/>
  <c r="L12" i="2" a="1"/>
  <c r="H34" i="1"/>
  <c r="G32" i="1"/>
  <c r="H26" i="1" l="1"/>
  <c r="H30" i="1"/>
  <c r="L3" i="1"/>
  <c r="E10" i="1" l="1"/>
  <c r="E11" i="1" s="1"/>
  <c r="M6" i="2" s="1"/>
  <c r="N46" i="2" l="1"/>
  <c r="P46" i="2" s="1"/>
  <c r="N48" i="2"/>
  <c r="P48" i="2" s="1"/>
  <c r="N47" i="2"/>
  <c r="P47" i="2" s="1"/>
  <c r="K32" i="2"/>
  <c r="P4" i="2" s="1"/>
  <c r="P51" i="2" l="1"/>
  <c r="H5" i="1" s="1"/>
  <c r="T7" i="2"/>
  <c r="K19" i="2"/>
  <c r="N4" i="2" s="1"/>
  <c r="R7" i="2" l="1"/>
  <c r="K25" i="2"/>
  <c r="L25" i="2" s="1"/>
  <c r="O4" i="2" s="1"/>
  <c r="S7" i="2" l="1"/>
  <c r="K12" i="2"/>
  <c r="N2" i="2"/>
  <c r="P2" i="2"/>
  <c r="P40" i="2" s="1"/>
  <c r="P41" i="2" s="1"/>
  <c r="N7" i="2" l="1"/>
  <c r="N8" i="2" s="1"/>
  <c r="N40" i="2"/>
  <c r="N41" i="2" s="1"/>
  <c r="L12" i="2"/>
  <c r="O2" i="2" s="1"/>
  <c r="P7" i="2"/>
  <c r="P8" i="2" s="1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<sst xmlns="http://schemas.openxmlformats.org/spreadsheetml/2006/main" count="384" uniqueCount="180">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</sst>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abSelected="1" zoomScaleNormal="100" workbookViewId="0">
      <selection activeCell="H11" sqref="H11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4.85546875" bestFit="1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174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8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1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6.6400000000000006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/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QUOTIENT(2200,1500)+IF(MOD(2200,1500)&gt;0,1,0)</f>
        <v>2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12.079683886660252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17.406649942997714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/>
      </c>
      <c r="E16" s="60" t="str">
        <f>IF(B3="Natural_Ventilation",E3+E13,"")</f>
        <v/>
      </c>
      <c r="F16" s="29" t="str">
        <f>IF(B3="Natural_Ventilation",CHAR(176)&amp;"C","")</f>
        <v/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1000</v>
      </c>
      <c r="C17" s="29" t="s">
        <v>45</v>
      </c>
      <c r="D17" s="46" t="str">
        <f>IF(B3="Forced_Ventilation","Fan Capacity","")</f>
        <v>Fan Capacity</v>
      </c>
      <c r="E17" s="60">
        <f>IF(B3="Forced_Ventilation",calc!M38,"")</f>
        <v>139.18389658803483</v>
      </c>
      <c r="F17" s="29" t="str">
        <f>IF(B3="Forced_Ventilation","m"&amp;CHAR(179)&amp;"/h","")</f>
        <v>m³/h</v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>Fan Qty</v>
      </c>
      <c r="E18" s="61">
        <f>IF(B3="Forced_Ventilation",IF(E17/C38 &gt;0,CEILING(E17/C38,1),0),"")</f>
        <v>1</v>
      </c>
      <c r="F18" s="54" t="str">
        <f>IF(B3="Forced_Ventilation","("&amp;B38&amp;")","")</f>
        <v>(PD120B-220 (38))</v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>Max. Temp.</v>
      </c>
      <c r="E19" s="77">
        <f>IF(B3="Forced_Ventilation",E3+calc!O38,"")</f>
        <v>38.682113666350126</v>
      </c>
      <c r="F19" s="29" t="str">
        <f>IF(B3="Forced_Ventilation",CHAR(176)&amp;"C","")</f>
        <v>°C</v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80" r:id="rId4" name="cmdDeletPowerloss">
          <controlPr defaultSize="0" autoLine="0" r:id="rId5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4" name="cmdDeletPowerloss"/>
      </mc:Fallback>
    </mc:AlternateContent>
    <mc:AlternateContent xmlns:mc="http://schemas.openxmlformats.org/markup-compatibility/2006">
      <mc:Choice Requires="x14">
        <control shapeId="1079" r:id="rId6" name="cmdClear_Loss">
          <controlPr defaultSize="0" autoLine="0" r:id="rId7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6" name="cmdClear_Loss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26" r:id="rId10" name="cmdCable_Add">
          <controlPr defaultSize="0" autoLine="0" r:id="rId11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10" name="cmdCable_Add"/>
      </mc:Fallback>
    </mc:AlternateContent>
    <mc:AlternateContent xmlns:mc="http://schemas.openxmlformats.org/markup-compatibility/2006">
      <mc:Choice Requires="x14">
        <control shapeId="1025" r:id="rId12" name="cmdBusbar_Add">
          <controlPr defaultSize="0" autoLine="0" r:id="rId13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12" name="cmdBusbar_Ad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opLeftCell="C37" zoomScaleNormal="100" workbookViewId="0">
      <selection activeCell="Y4" sqref="Y4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0.28515625" bestFit="1" customWidth="1"/>
    <col min="14" max="14" width="16.140625" bestFit="1" customWidth="1"/>
    <col min="15" max="15" width="13.425781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0.12839026236776321</v>
      </c>
      <c r="O2" s="27">
        <f>(INDEX(L14:X14,L12)+INDEX(L15:X15,L12)*Main!B7)/(1 + INDEX(calc!L16:X16,calc!L12)*Main!B7 +INDEX( calc!L17:X17,calc!L12)*(Main!B7)^2)*(0.33/0.38)+0.05</f>
        <v>0.24024820058196905</v>
      </c>
      <c r="P2" s="36">
        <f>70.2496526710266*(1+1.35363728862232*calc!P51/0.00227234009400175)^(-1/1.35363728862232)</f>
        <v>0.15457261336421646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31">
        <f>INDEX(L21:P21,K1)*EXP(-EXP(INDEX(L22:P22,K1)-INDEX(L23:P23,K1)*K19))*(0.6/1.6)+1</f>
        <v>1.4409855511384777</v>
      </c>
      <c r="O4" s="31">
        <f>(INDEX(L27:U27,L25)+INDEX(L28:U28,L25)*Main!B7)/(1 + INDEX(calc!L29:U29,calc!L25)*Main!B7 + INDEX(calc!L30:U30,calc!L25)*(Main!B7^2))</f>
        <v>1.4</v>
      </c>
      <c r="P4" s="37">
        <f>1.25746564411252/(1 + EXP(3.0499379294743-2.85423150337704*K32))^(1/13.3533620666701)</f>
        <v>1.2538154202121952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12.079683886660252</v>
      </c>
      <c r="O7" s="5">
        <f t="shared" ref="O7:P7" si="0">O2*O3*($M$6^O5)</f>
        <v>13.668518659636021</v>
      </c>
      <c r="P7" s="38">
        <f t="shared" si="0"/>
        <v>14.543067928518482</v>
      </c>
      <c r="Q7" s="43" t="s">
        <v>140</v>
      </c>
      <c r="R7" s="5">
        <f>$R$6/N4</f>
        <v>3.4698474221685678</v>
      </c>
      <c r="S7" s="5">
        <f t="shared" ref="S7:T7" si="1">$R$6/O4</f>
        <v>3.5714285714285716</v>
      </c>
      <c r="T7" s="38">
        <f t="shared" si="1"/>
        <v>3.987827808940013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35">
        <f>N4*N7</f>
        <v>17.406649942997714</v>
      </c>
      <c r="O8" s="35">
        <f>O7*O4</f>
        <v>19.135926123490428</v>
      </c>
      <c r="P8" s="39">
        <f>P7*P4</f>
        <v>18.234322825969901</v>
      </c>
      <c r="Q8" s="44" t="s">
        <v>145</v>
      </c>
      <c r="R8" s="35">
        <f>(R7/(N2*N3))^(1/N5)</f>
        <v>60.369665704075096</v>
      </c>
      <c r="S8" s="35">
        <f t="shared" ref="S8:T8" si="2">(S7/(O2*O3))^(1/O5)</f>
        <v>43.592837641446991</v>
      </c>
      <c r="T8" s="35">
        <f t="shared" si="2"/>
        <v>56.980489926692691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6.6400000000000006</v>
      </c>
      <c r="L12" s="2">
        <f t="array" ref="L12">MATCH(MIN(ABS(L13:X13-K12)),ABS(L13:X13-K12),0)</f>
        <v>9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5.7982991065447962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128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124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135</v>
      </c>
      <c r="K25" s="19">
        <f>K19</f>
        <v>5.7982991065447962</v>
      </c>
      <c r="L25" s="2">
        <f t="array" ref="L25">MATCH(MIN(ABS(L26:U26-K25)),ABS(L26:U26-K25),0)</f>
        <v>6</v>
      </c>
    </row>
    <row r="26" spans="1:24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139</v>
      </c>
      <c r="K32" s="19">
        <f>Main!B16/(Main!B17/Main!H3)</f>
        <v>2.2000000000000002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224.49015578715296</v>
      </c>
      <c r="N35" s="6" t="s">
        <v>153</v>
      </c>
      <c r="O35" s="76">
        <f>M35</f>
        <v>224.49015578715296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>
        <f>Main!E18*Main!C38</f>
        <v>189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139.18389658803483</v>
      </c>
      <c r="N38" s="6" t="s">
        <v>154</v>
      </c>
      <c r="O38" s="76">
        <f>(O36*O35)/O37</f>
        <v>3.6821136663501277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12.079683886660252</v>
      </c>
      <c r="O40" s="5">
        <f t="shared" ref="O40:P40" si="3">O2*O3*($M$6^O5)</f>
        <v>13.668518659636021</v>
      </c>
      <c r="P40" s="5">
        <f t="shared" si="3"/>
        <v>14.543067928518482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17.406649942997714</v>
      </c>
      <c r="O41" s="35">
        <f t="shared" ref="O41:P41" si="4">O4*O40</f>
        <v>19.135926123490428</v>
      </c>
      <c r="P41" s="35">
        <f t="shared" si="4"/>
        <v>18.234322825969901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0.5</v>
      </c>
      <c r="O46" s="2">
        <f>IF(M46="Exposed",1.4,0.7)</f>
        <v>1.4</v>
      </c>
      <c r="P46" s="5">
        <f>N46*O46</f>
        <v>0.7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2.2000000000000002</v>
      </c>
      <c r="O47" s="2">
        <f>IF(M47="Exposed",0.9,0.5)</f>
        <v>0.9</v>
      </c>
      <c r="P47" s="5">
        <f>N47*O47</f>
        <v>1.9800000000000002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2.2000000000000002</v>
      </c>
      <c r="O48" s="2">
        <f>IF(M48="Exposed",0.9,0.5)</f>
        <v>0.9</v>
      </c>
      <c r="P48" s="5">
        <f>N48*O48</f>
        <v>1.9800000000000002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6.6400000000000006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N17" sqref="N17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2019-10-17T10:21:41Z</dcterms:modified>
</cp:coreProperties>
</file>