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 activeTab="1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H26" i="1" l="1"/>
  <c r="L12" i="2" a="1"/>
  <c r="H11" i="1" l="1"/>
  <c r="H3" i="1"/>
  <c r="H9" i="1" l="1"/>
  <c r="H10" i="1"/>
  <c r="D16" i="1" l="1"/>
  <c r="M46" i="2"/>
  <c r="O46" i="2" s="1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R6" i="2"/>
  <c r="O3" i="2" l="1"/>
  <c r="L25" i="2" a="1"/>
  <c r="K1" i="2"/>
  <c r="N3" i="2"/>
  <c r="H34" i="1"/>
  <c r="G32" i="1"/>
  <c r="H30" i="1" l="1"/>
  <c r="L3" i="1"/>
  <c r="E10" i="1" l="1"/>
  <c r="E11" i="1" s="1"/>
  <c r="M6" i="2" s="1"/>
  <c r="N46" i="2" l="1"/>
  <c r="P46" i="2" s="1"/>
  <c r="N48" i="2"/>
  <c r="P48" i="2" s="1"/>
  <c r="N47" i="2"/>
  <c r="P47" i="2" s="1"/>
  <c r="K32" i="2"/>
  <c r="P4" i="2" s="1"/>
  <c r="P51" i="2" l="1"/>
  <c r="H5" i="1" s="1"/>
  <c r="T7" i="2"/>
  <c r="K19" i="2"/>
  <c r="N4" i="2" s="1"/>
  <c r="R7" i="2" l="1"/>
  <c r="K25" i="2"/>
  <c r="L25" i="2" s="1"/>
  <c r="O4" i="2" s="1"/>
  <c r="S7" i="2" l="1"/>
  <c r="K12" i="2"/>
  <c r="L12" i="2" s="1"/>
  <c r="N2" i="2"/>
  <c r="P2" i="2"/>
  <c r="P40" i="2" s="1"/>
  <c r="P41" i="2" s="1"/>
  <c r="N7" i="2" l="1"/>
  <c r="N8" i="2" s="1"/>
  <c r="N40" i="2"/>
  <c r="N41" i="2" s="1"/>
  <c r="O2" i="2"/>
  <c r="P7" i="2"/>
  <c r="P8" i="2" s="1"/>
  <c r="T8" i="2"/>
  <c r="R8" i="2"/>
  <c r="O7" i="2" l="1"/>
  <c r="O8" i="2" s="1"/>
  <c r="E13" i="1" s="1"/>
  <c r="E16" i="1" s="1"/>
  <c r="O40" i="2"/>
  <c r="O41" i="2" s="1"/>
  <c r="S8" i="2"/>
  <c r="M35" i="2"/>
  <c r="E12" i="1"/>
  <c r="M38" i="2" l="1"/>
  <c r="E17" i="1" s="1"/>
  <c r="E18" i="1" s="1"/>
  <c r="O37" i="2" s="1"/>
  <c r="O35" i="2"/>
  <c r="O38" i="2" l="1"/>
  <c r="E19" i="1" s="1"/>
</calcChain>
</file>

<file path=xl/sharedStrings.xml><?xml version="1.0" encoding="utf-8"?>
<sst xmlns="http://schemas.openxmlformats.org/spreadsheetml/2006/main" count="380" uniqueCount="177">
  <si>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</si>
  <si>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</si>
  <si>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</si>
  <si>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</si>
  <si>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</si>
  <si>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</si>
  <si>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</si>
  <si>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</si>
  <si>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</si>
  <si>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</si>
  <si>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</si>
  <si>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</si>
  <si>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</si>
  <si>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</si>
  <si>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</si>
  <si>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</si>
  <si>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</si>
  <si>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</si>
  <si>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</si>
  <si>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</si>
  <si>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</si>
  <si>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</si>
  <si>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</si>
  <si>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</si>
  <si>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</si>
  <si>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</si>
  <si>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</si>
  <si>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</si>
  <si>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</si>
  <si>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</si>
  <si>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</si>
  <si>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</si>
  <si>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</si>
  <si>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</si>
  <si>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</si>
  <si>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</si>
  <si>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</si>
  <si>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</si>
  <si>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</si>
  <si>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</si>
  <si>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</si>
  <si>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</si>
  <si>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</si>
  <si>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</si>
  <si>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</si>
  <si>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</si>
  <si>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</si>
  <si>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</si>
  <si>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</si>
  <si>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</si>
  <si>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</si>
  <si>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</si>
  <si>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</si>
  <si>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</si>
  <si>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</si>
  <si>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</si>
  <si>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</si>
  <si>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</si>
  <si>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</si>
  <si>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</si>
  <si>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</si>
  <si>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</si>
  <si>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</si>
  <si>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</si>
  <si>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</si>
  <si>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</si>
  <si>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</si>
  <si>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</si>
  <si>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</si>
  <si>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</si>
  <si>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</si>
  <si>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</si>
  <si>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</si>
  <si>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</si>
  <si>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</si>
  <si>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</si>
  <si>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</si>
  <si>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</si>
  <si>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</si>
  <si>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</si>
  <si>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</si>
  <si>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</si>
  <si>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</si>
  <si>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</si>
  <si>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</si>
  <si>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</si>
  <si>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</si>
  <si>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</si>
  <si>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</si>
  <si>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</si>
  <si>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</si>
  <si>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</si>
  <si>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</si>
  <si>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</si>
  <si>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</si>
  <si>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</si>
  <si>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</si>
  <si>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</si>
  <si>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</si>
  <si>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</si>
  <si>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</si>
  <si>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</si>
  <si>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</si>
  <si>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</si>
  <si>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</si>
  <si>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</si>
  <si>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</si>
  <si>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</si>
  <si>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</si>
  <si>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</si>
  <si>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</si>
  <si>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</si>
  <si>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</si>
  <si>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</si>
  <si>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</si>
  <si>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</si>
  <si>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</si>
  <si>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</si>
  <si>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</si>
  <si>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</si>
  <si>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</si>
  <si>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</si>
  <si>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</si>
  <si>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</si>
  <si>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</si>
  <si>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</si>
  <si>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</si>
  <si>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</si>
  <si>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</si>
  <si>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</si>
  <si>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</si>
  <si>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</si>
  <si>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</si>
  <si>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</si>
  <si>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</si>
  <si>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</si>
  <si>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</si>
  <si>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</si>
  <si>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</si>
  <si>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</si>
  <si>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</si>
  <si>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Target Temp</t>
  </si>
  <si>
    <t>Temp rise.</t>
  </si>
  <si>
    <t>P</t>
  </si>
  <si>
    <t>Max Power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</si>
  <si>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</si>
  <si>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</si>
  <si>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</si>
  <si>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</si>
  <si>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</si>
  <si>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</si>
  <si>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</si>
  <si>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</si>
  <si>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</si>
  <si>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</si>
  <si>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</si>
  <si>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</si>
  <si>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</si>
  <si>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</si>
  <si>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</si>
  <si>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</si>
  <si>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</si>
  <si>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</si>
  <si>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</si>
  <si>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</si>
  <si>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</si>
  <si>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</si>
  <si>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</si>
  <si>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</si>
  <si>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</si>
  <si>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</si>
  <si>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</si>
  <si>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</si>
  <si>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</si>
  <si>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</si>
  <si>
    <t>Al</t>
  </si>
  <si>
    <t>Busbar-Aux Bus 01(Al) 150x10x2R (520A)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</si>
</sst>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zoomScaleNormal="100" workbookViewId="0">
      <selection activeCell="A30" sqref="A30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4.85546875" bestFit="1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169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8</v>
      </c>
      <c r="C3" s="29"/>
      <c r="D3" s="46" t="s">
        <v>47</v>
      </c>
      <c r="E3" s="4">
        <v>35</v>
      </c>
      <c r="F3" s="29" t="s">
        <v>120</v>
      </c>
      <c r="G3" s="46" t="s">
        <v>46</v>
      </c>
      <c r="H3" s="8">
        <f>QUOTIENT(B17,1500)+IF(MOD(B17,1500)&gt;0,1,0)</f>
        <v>1</v>
      </c>
      <c r="I3" s="30"/>
      <c r="J3" s="29"/>
      <c r="K3" s="3" t="s">
        <v>4</v>
      </c>
      <c r="L3" s="12">
        <f>SUM(L4:L1048576)</f>
        <v>14.245573333333333</v>
      </c>
      <c r="M3" s="68" t="s">
        <v>117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176</v>
      </c>
      <c r="L4" s="31">
        <v>14.245573333333333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133</v>
      </c>
      <c r="H5" s="9">
        <f>calc!P51</f>
        <v>5.7600000000000007</v>
      </c>
      <c r="I5" s="30"/>
      <c r="J5" s="29"/>
      <c r="K5" s="67"/>
      <c r="L5" s="31"/>
      <c r="M5" s="68"/>
    </row>
    <row r="6" spans="1:13" x14ac:dyDescent="0.25">
      <c r="A6" s="28"/>
      <c r="B6" s="29"/>
      <c r="C6" s="29"/>
      <c r="I6" s="30"/>
      <c r="J6" s="29"/>
      <c r="K6" s="67"/>
      <c r="L6" s="31"/>
      <c r="M6" s="68"/>
    </row>
    <row r="7" spans="1:13" ht="17.25" x14ac:dyDescent="0.25">
      <c r="A7" s="50" t="str">
        <f>IF(B3="Natural_Ventilation","Louver Area","")</f>
        <v/>
      </c>
      <c r="B7" s="4">
        <v>200</v>
      </c>
      <c r="C7" s="29" t="s">
        <v>151</v>
      </c>
      <c r="D7" s="46" t="s">
        <v>141</v>
      </c>
      <c r="E7" s="4">
        <v>40</v>
      </c>
      <c r="F7" t="s">
        <v>120</v>
      </c>
      <c r="I7" s="30"/>
      <c r="J7" s="29"/>
      <c r="K7" s="67"/>
      <c r="L7" s="31"/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145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118</v>
      </c>
      <c r="E10" s="14">
        <f>L3</f>
        <v>14.245573333333333</v>
      </c>
      <c r="F10" s="29" t="s">
        <v>117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119</v>
      </c>
      <c r="E11" s="14">
        <f>E10*(E5^2)</f>
        <v>10.292426733333333</v>
      </c>
      <c r="F11" s="29" t="s">
        <v>117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139</v>
      </c>
      <c r="E12" s="20">
        <f>IF(calc!P51&lt;1.25,calc!P7,IF(AND(calc!P51&gt;1.25,Main!B7=0),calc!N7,calc!O7))</f>
        <v>0.71102168937303012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28</v>
      </c>
      <c r="C13" s="29"/>
      <c r="D13" s="15" t="s">
        <v>140</v>
      </c>
      <c r="E13" s="20">
        <f>IF(calc!P51&lt;1.25,calc!P8,IF(AND(calc!P51&gt;1.25,Main!B7=0),calc!N8,calc!O8))</f>
        <v>1.3187480120693449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/>
      </c>
      <c r="E16" s="60" t="str">
        <f>IF(B3="Natural_Ventilation",E3+E13,"")</f>
        <v/>
      </c>
      <c r="F16" s="29" t="str">
        <f>IF(B3="Natural_Ventilation",CHAR(176)&amp;"C","")</f>
        <v/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1000</v>
      </c>
      <c r="C17" s="29" t="s">
        <v>45</v>
      </c>
      <c r="D17" s="46" t="str">
        <f>IF(B3="Forced_Ventilation","Fan Capacity","")</f>
        <v>Fan Capacity</v>
      </c>
      <c r="E17" s="60">
        <f>IF(B3="Forced_Ventilation",calc!M38,"")</f>
        <v>-27.107681895356251</v>
      </c>
      <c r="F17" s="29" t="str">
        <f>IF(B3="Forced_Ventilation","m"&amp;CHAR(179)&amp;"/h","")</f>
        <v>m³/h</v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>Fan Qty</v>
      </c>
      <c r="E18" s="61" t="e">
        <f>IF(B3="Forced_Ventilation",IF(E17/C38 &gt;0,CEILING(E17/C38,1),0),"")</f>
        <v>#N/A</v>
      </c>
      <c r="F18" s="54" t="str">
        <f>IF(B3="Forced_Ventilation","("&amp;B38&amp;")","")</f>
        <v>()</v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>Max. Temp.</v>
      </c>
      <c r="E19" s="77" t="e">
        <f>IF(B3="Forced_Ventilation",E3+calc!O38,"")</f>
        <v>#N/A</v>
      </c>
      <c r="F19" s="29" t="str">
        <f>IF(B3="Forced_Ventilation",CHAR(176)&amp;"C","")</f>
        <v>°C</v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116</v>
      </c>
      <c r="B26" s="4" t="s">
        <v>175</v>
      </c>
      <c r="C26" s="4">
        <v>150</v>
      </c>
      <c r="D26" s="4">
        <v>10</v>
      </c>
      <c r="E26" s="11">
        <v>2</v>
      </c>
      <c r="F26" s="4">
        <v>5</v>
      </c>
      <c r="G26" s="4">
        <v>520</v>
      </c>
      <c r="H26" s="9">
        <f>IFERROR(((IF(B26="Al",data!B4,data!B2)/1000)*Main!F26)/(Main!C26*Main!D26*Main!E26)*(G26^2),"")</f>
        <v>14.245573333333333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175</v>
      </c>
      <c r="C30" s="4" t="s">
        <v>69</v>
      </c>
      <c r="D30" s="4">
        <v>95</v>
      </c>
      <c r="E30" s="11">
        <v>3</v>
      </c>
      <c r="F30" s="4">
        <v>12</v>
      </c>
      <c r="G30" s="4">
        <v>100</v>
      </c>
      <c r="H30" s="9">
        <f>IFERROR(((IF(B30="Al",data!B5,data!B3)/1000)*F30/D30)*(G30^2)*E30,"")</f>
        <v>135.66315789473683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115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12</v>
      </c>
      <c r="G34" s="4">
        <v>63</v>
      </c>
      <c r="H34" s="8">
        <f>INDEX(calc!AE:AE,MATCH(E34,calc!AC:AC,0))*((G34/INDEX(calc!AD:AD,MATCH(E34,calc!AC:AC,0)))^2)*F34</f>
        <v>154.80000000000001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154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155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152</v>
      </c>
      <c r="B38" s="4"/>
      <c r="C38" s="4" t="e">
        <f>INDEX(calc!AI:AI,MATCH(Main!B38,calc!AH:AH,0))</f>
        <v>#N/A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171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173</v>
      </c>
    </row>
    <row r="42" spans="1:13" x14ac:dyDescent="0.25">
      <c r="A42" t="s">
        <v>174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Busbar_Add">
          <controlPr defaultSize="0" autoLine="0" r:id="rId5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4" name="cmdBusbar_Add"/>
      </mc:Fallback>
    </mc:AlternateContent>
    <mc:AlternateContent xmlns:mc="http://schemas.openxmlformats.org/markup-compatibility/2006">
      <mc:Choice Requires="x14">
        <control shapeId="1026" r:id="rId6" name="cmdCable_Add">
          <controlPr defaultSize="0" autoLine="0" r:id="rId7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6" name="cmdCable_Add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79" r:id="rId10" name="cmdClear_Loss">
          <controlPr defaultSize="0" autoLine="0" r:id="rId11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10" name="cmdClear_Loss"/>
      </mc:Fallback>
    </mc:AlternateContent>
    <mc:AlternateContent xmlns:mc="http://schemas.openxmlformats.org/markup-compatibility/2006">
      <mc:Choice Requires="x14">
        <control shapeId="1080" r:id="rId12" name="cmdDeletPowerloss">
          <controlPr defaultSize="0" autoLine="0" r:id="rId13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12" name="cmdDeletPowerlos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abSelected="1" topLeftCell="G1" zoomScaleNormal="100" workbookViewId="0">
      <selection activeCell="O2" sqref="O2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0.28515625" bestFit="1" customWidth="1"/>
    <col min="14" max="14" width="16.140625" bestFit="1" customWidth="1"/>
    <col min="15" max="15" width="9.85546875" customWidth="1"/>
    <col min="16" max="16" width="10.5703125" customWidth="1"/>
    <col min="17" max="17" width="9.7109375" customWidth="1"/>
    <col min="18" max="18" width="9.5703125" customWidth="1"/>
    <col min="19" max="19" width="8.7109375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132</v>
      </c>
      <c r="K1" s="2">
        <f>INDEX(K3:K10,MATCH(Main!B13,calc!E3:E10,0))</f>
        <v>3</v>
      </c>
      <c r="M1" s="23"/>
      <c r="N1" s="24" t="s">
        <v>129</v>
      </c>
      <c r="O1" s="24" t="s">
        <v>130</v>
      </c>
      <c r="P1" s="25" t="s">
        <v>128</v>
      </c>
      <c r="Q1" s="23"/>
      <c r="R1" s="24" t="s">
        <v>129</v>
      </c>
      <c r="S1" s="24" t="s">
        <v>130</v>
      </c>
      <c r="T1" s="25" t="s">
        <v>128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131</v>
      </c>
      <c r="M2" s="26" t="s">
        <v>121</v>
      </c>
      <c r="N2" s="27">
        <f>0.0459536911922546/(1  -0.987175746302811*EXP(-0.0647798482560785*calc!P51))</f>
        <v>0.14349046274272775</v>
      </c>
      <c r="O2" s="27">
        <f>(INDEX(L14:X14,L12)+INDEX(L15:X15,L12)*Main!B7)/(1 + INDEX(calc!L16:X16,calc!L12)*Main!B7 +INDEX( calc!L17:X17,calc!L12)*(Main!B7)^2)*(0.33/0.38)+0.05</f>
        <v>0.13425566905742498</v>
      </c>
      <c r="P2" s="36">
        <f>70.2496526710266*(1+1.35363728862232*calc!P51/0.00227234009400175)^(-1/1.35363728862232)</f>
        <v>0.17168594392368258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153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122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152</v>
      </c>
      <c r="AH3" t="s">
        <v>157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123</v>
      </c>
      <c r="N4" s="31">
        <f>INDEX(L21:P21,K1)*EXP(-EXP(INDEX(L22:P22,K1)-INDEX(L23:P23,K1)*K19))*(0.6/1.6)+1</f>
        <v>1.4099661141013087</v>
      </c>
      <c r="O4" s="31">
        <f>(INDEX(L27:U27,L25)+INDEX(L28:U28,L25)*Main!B7)/(1 + INDEX(calc!L29:U29,calc!L25)*Main!B7 + INDEX(calc!L30:U30,calc!L25)*(Main!B7^2))</f>
        <v>1.8547226220795039</v>
      </c>
      <c r="P4" s="37">
        <f>1.25746564411252/(1 + EXP(3.0499379294743-2.85423150337704*K32))^(1/13.3533620666701)</f>
        <v>1.2538154202121952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152</v>
      </c>
      <c r="AH4" s="49" t="s">
        <v>158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124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152</v>
      </c>
      <c r="AH5" s="49" t="s">
        <v>159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10.292426733333333</v>
      </c>
      <c r="N6" s="29"/>
      <c r="O6" s="29"/>
      <c r="P6" s="30"/>
      <c r="Q6" s="41" t="s">
        <v>140</v>
      </c>
      <c r="R6" s="42">
        <f>Main!E7-Main!E3</f>
        <v>5</v>
      </c>
      <c r="S6" s="29"/>
      <c r="T6" s="30"/>
      <c r="AG6" t="s">
        <v>152</v>
      </c>
      <c r="AH6" t="s">
        <v>160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139</v>
      </c>
      <c r="N7" s="5">
        <f>N2*N3*($M$6^N5)</f>
        <v>0.93516304114229709</v>
      </c>
      <c r="O7" s="5">
        <f t="shared" ref="O7:P7" si="0">O2*O3*($M$6^O5)</f>
        <v>0.71102168937303012</v>
      </c>
      <c r="P7" s="38">
        <f t="shared" si="0"/>
        <v>1.1189200060559004</v>
      </c>
      <c r="Q7" s="43" t="s">
        <v>139</v>
      </c>
      <c r="R7" s="5">
        <f>$R$6/N4</f>
        <v>3.5461845146448256</v>
      </c>
      <c r="S7" s="5">
        <f t="shared" ref="S7:T7" si="1">$R$6/O4</f>
        <v>2.6958208955223881</v>
      </c>
      <c r="T7" s="38">
        <f t="shared" si="1"/>
        <v>3.987827808940013</v>
      </c>
      <c r="AG7" t="s">
        <v>152</v>
      </c>
      <c r="AH7" t="s">
        <v>161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140</v>
      </c>
      <c r="N8" s="35">
        <f>N4*N7</f>
        <v>1.318548199170567</v>
      </c>
      <c r="O8" s="35">
        <f>O7*O4</f>
        <v>1.3187480120693449</v>
      </c>
      <c r="P8" s="39">
        <f>P7*P4</f>
        <v>1.4029191575768107</v>
      </c>
      <c r="Q8" s="44" t="s">
        <v>143</v>
      </c>
      <c r="R8" s="35">
        <f>(R7/(N2*N3))^(1/N5)</f>
        <v>54.014494306488579</v>
      </c>
      <c r="S8" s="35">
        <f t="shared" ref="S8:T8" si="2">(S7/(O2*O3))^(1/O5)</f>
        <v>66.380378302269236</v>
      </c>
      <c r="T8" s="35">
        <f t="shared" si="2"/>
        <v>50.00426362060098</v>
      </c>
      <c r="AG8" t="s">
        <v>152</v>
      </c>
      <c r="AH8" t="s">
        <v>162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142</v>
      </c>
      <c r="Q9" s="22" t="s">
        <v>144</v>
      </c>
      <c r="AG9" t="s">
        <v>152</v>
      </c>
      <c r="AH9" t="s">
        <v>163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152</v>
      </c>
      <c r="AH10" t="s">
        <v>164</v>
      </c>
      <c r="AI10">
        <v>78</v>
      </c>
    </row>
    <row r="11" spans="1:35" x14ac:dyDescent="0.25">
      <c r="A11" s="2"/>
      <c r="B11" s="2" t="s">
        <v>20</v>
      </c>
      <c r="C11" s="2"/>
      <c r="L11" t="s">
        <v>126</v>
      </c>
      <c r="AG11" t="s">
        <v>152</v>
      </c>
      <c r="AH11" t="s">
        <v>167</v>
      </c>
      <c r="AI11">
        <v>105</v>
      </c>
    </row>
    <row r="12" spans="1:35" x14ac:dyDescent="0.25">
      <c r="A12" s="2"/>
      <c r="B12" s="2" t="s">
        <v>21</v>
      </c>
      <c r="C12" s="2"/>
      <c r="J12" t="s">
        <v>133</v>
      </c>
      <c r="K12" s="18">
        <f>calc!P51</f>
        <v>5.7600000000000007</v>
      </c>
      <c r="L12" s="2">
        <f t="array" ref="L12">MATCH(MIN(ABS(L13:X13-K12)),ABS(L13:X13-K12),0)</f>
        <v>8</v>
      </c>
      <c r="AG12" t="s">
        <v>152</v>
      </c>
      <c r="AH12" t="s">
        <v>166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125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152</v>
      </c>
      <c r="AH13" t="s">
        <v>165</v>
      </c>
      <c r="AI13">
        <v>189</v>
      </c>
    </row>
    <row r="14" spans="1:35" x14ac:dyDescent="0.25">
      <c r="A14" s="3" t="s">
        <v>156</v>
      </c>
      <c r="E14" s="2" t="s">
        <v>73</v>
      </c>
      <c r="F14" s="2" t="s">
        <v>81</v>
      </c>
      <c r="G14" s="2" t="s">
        <v>76</v>
      </c>
      <c r="K14" t="s">
        <v>127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152</v>
      </c>
      <c r="AH14" t="s">
        <v>168</v>
      </c>
      <c r="AI14">
        <v>189</v>
      </c>
    </row>
    <row r="15" spans="1:35" x14ac:dyDescent="0.25">
      <c r="A15" s="2" t="s">
        <v>152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152</v>
      </c>
      <c r="AH15" t="s">
        <v>170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123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122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134</v>
      </c>
      <c r="K19" s="19">
        <f>((Main!B16/1000)^(1.35))/calc!N46</f>
        <v>5.7982991065447962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136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127</v>
      </c>
      <c r="L21" s="16">
        <v>1.81</v>
      </c>
      <c r="M21" s="16">
        <v>1.77</v>
      </c>
      <c r="N21" s="16">
        <v>1.72</v>
      </c>
      <c r="O21" s="16">
        <v>1.62</v>
      </c>
      <c r="P21" s="16">
        <v>1.52</v>
      </c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6">
        <v>0.22</v>
      </c>
      <c r="M22" s="16">
        <v>0.26800000000000002</v>
      </c>
      <c r="N22" s="16">
        <v>0.316</v>
      </c>
      <c r="O22" s="16">
        <v>0.375</v>
      </c>
      <c r="P22" s="16">
        <v>0.52600000000000002</v>
      </c>
    </row>
    <row r="23" spans="1:24" x14ac:dyDescent="0.25">
      <c r="A23" t="s">
        <v>89</v>
      </c>
      <c r="B23" t="s">
        <v>99</v>
      </c>
      <c r="C23" t="s">
        <v>107</v>
      </c>
      <c r="K23" t="s">
        <v>123</v>
      </c>
      <c r="L23" s="16">
        <v>0.183</v>
      </c>
      <c r="M23" s="16">
        <v>0.185</v>
      </c>
      <c r="N23" s="16">
        <v>0.191</v>
      </c>
      <c r="O23" s="16">
        <v>0.20300000000000001</v>
      </c>
      <c r="P23" s="16">
        <v>0.21</v>
      </c>
    </row>
    <row r="24" spans="1:24" x14ac:dyDescent="0.25">
      <c r="A24" t="s">
        <v>91</v>
      </c>
      <c r="B24" t="s">
        <v>102</v>
      </c>
      <c r="C24" t="s">
        <v>108</v>
      </c>
    </row>
    <row r="25" spans="1:24" x14ac:dyDescent="0.25">
      <c r="B25" t="s">
        <v>105</v>
      </c>
      <c r="J25" t="s">
        <v>134</v>
      </c>
      <c r="K25" s="19">
        <f>K19</f>
        <v>5.7982991065447962</v>
      </c>
      <c r="L25" s="2">
        <f t="array" ref="L25">MATCH(MIN(ABS(L26:U26-K25)),ABS(L26:U26-K25),0)</f>
        <v>6</v>
      </c>
    </row>
    <row r="26" spans="1:24" x14ac:dyDescent="0.25">
      <c r="A26" s="29"/>
      <c r="B26" s="29"/>
      <c r="C26" s="29"/>
      <c r="D26" s="29"/>
      <c r="K26" t="s">
        <v>137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127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123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122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138</v>
      </c>
      <c r="K32" s="19">
        <f>Main!B16/(Main!B17/Main!H3)</f>
        <v>2.2000000000000002</v>
      </c>
    </row>
    <row r="34" spans="10:16" x14ac:dyDescent="0.25">
      <c r="M34" t="s">
        <v>5</v>
      </c>
      <c r="N34" s="6"/>
      <c r="O34" s="13" t="s">
        <v>172</v>
      </c>
    </row>
    <row r="35" spans="10:16" x14ac:dyDescent="0.25">
      <c r="J35" t="s">
        <v>146</v>
      </c>
      <c r="K35" t="s">
        <v>147</v>
      </c>
      <c r="L35" s="45" t="s">
        <v>148</v>
      </c>
      <c r="M35" s="76">
        <f>Main!E11-IF(calc!P51&lt;1.25,calc!T8,calc!R8)</f>
        <v>-43.722067573155243</v>
      </c>
      <c r="N35" s="6" t="s">
        <v>148</v>
      </c>
      <c r="O35" s="76">
        <f>M35</f>
        <v>-43.722067573155243</v>
      </c>
    </row>
    <row r="36" spans="10:16" x14ac:dyDescent="0.25">
      <c r="J36">
        <v>0</v>
      </c>
      <c r="K36">
        <v>3.1</v>
      </c>
      <c r="L36" s="6" t="s">
        <v>134</v>
      </c>
      <c r="M36" s="75">
        <f>INDEX(K36:K43,MATCH(Main!B9,calc!J36:J43,0))</f>
        <v>3.1</v>
      </c>
      <c r="N36" s="45" t="s">
        <v>134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149</v>
      </c>
      <c r="M37" s="75">
        <f>Main!E7-Main!E3</f>
        <v>5</v>
      </c>
      <c r="N37" s="6" t="s">
        <v>150</v>
      </c>
      <c r="O37" s="75" t="e">
        <f>Main!E18*Main!C38</f>
        <v>#N/A</v>
      </c>
    </row>
    <row r="38" spans="10:16" x14ac:dyDescent="0.25">
      <c r="J38">
        <v>1000</v>
      </c>
      <c r="K38">
        <v>3.5</v>
      </c>
      <c r="L38" s="45" t="s">
        <v>150</v>
      </c>
      <c r="M38" s="76">
        <f>(M36*M35)/M37</f>
        <v>-27.107681895356251</v>
      </c>
      <c r="N38" s="6" t="s">
        <v>149</v>
      </c>
      <c r="O38" s="76" t="e">
        <f>(O36*O35)/O37</f>
        <v>#N/A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139</v>
      </c>
      <c r="N40" s="5">
        <f>N2*N3*($M$6^N5)</f>
        <v>0.93516304114229709</v>
      </c>
      <c r="O40" s="5">
        <f t="shared" ref="O40:P40" si="3">O2*O3*($M$6^O5)</f>
        <v>0.71102168937303012</v>
      </c>
      <c r="P40" s="5">
        <f t="shared" si="3"/>
        <v>1.1189200060559004</v>
      </c>
    </row>
    <row r="41" spans="10:16" ht="15.75" thickBot="1" x14ac:dyDescent="0.3">
      <c r="J41">
        <v>2500</v>
      </c>
      <c r="K41">
        <v>4.4000000000000004</v>
      </c>
      <c r="M41" s="34" t="s">
        <v>140</v>
      </c>
      <c r="N41" s="35">
        <f>N4*N40</f>
        <v>1.318548199170567</v>
      </c>
      <c r="O41" s="35">
        <f t="shared" ref="O41:P41" si="4">O4*O40</f>
        <v>1.3187480120693449</v>
      </c>
      <c r="P41" s="35">
        <f t="shared" si="4"/>
        <v>1.4029191575768107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0.5</v>
      </c>
      <c r="O46" s="2">
        <f>IF(M46="Exposed",1.4,0.7)</f>
        <v>1.4</v>
      </c>
      <c r="P46" s="5">
        <f>N46*O46</f>
        <v>0.7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2.2000000000000002</v>
      </c>
      <c r="O47" s="2">
        <f>IF(M47="Exposed",0.9,0.5)</f>
        <v>0.9</v>
      </c>
      <c r="P47" s="5">
        <f>N47*O47</f>
        <v>1.9800000000000002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Covered</v>
      </c>
      <c r="N48" s="5">
        <f>((Main!B17/Main!H3)*Main!B16)/(1000*1000)</f>
        <v>2.2000000000000002</v>
      </c>
      <c r="O48" s="2">
        <f>IF(M48="Exposed",0.9,0.5)</f>
        <v>0.5</v>
      </c>
      <c r="P48" s="5">
        <f>N48*O48</f>
        <v>1.1000000000000001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135</v>
      </c>
      <c r="P51" s="9">
        <f>SUM(P46:P50)</f>
        <v>5.7600000000000007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B5" sqref="B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153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152</v>
      </c>
      <c r="N3" t="s">
        <v>157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152</v>
      </c>
      <c r="N4" s="49" t="s">
        <v>158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152</v>
      </c>
      <c r="N5" s="49" t="s">
        <v>159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152</v>
      </c>
      <c r="N6" t="s">
        <v>160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152</v>
      </c>
      <c r="N7" t="s">
        <v>161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152</v>
      </c>
      <c r="N8" t="s">
        <v>162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152</v>
      </c>
      <c r="N9" t="s">
        <v>163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152</v>
      </c>
      <c r="N10" t="s">
        <v>164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152</v>
      </c>
      <c r="N11" t="s">
        <v>167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152</v>
      </c>
      <c r="N12" t="s">
        <v>166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152</v>
      </c>
      <c r="N13" t="s">
        <v>165</v>
      </c>
      <c r="O13">
        <v>189</v>
      </c>
    </row>
    <row r="14" spans="1:15" x14ac:dyDescent="0.25">
      <c r="M14" t="s">
        <v>152</v>
      </c>
      <c r="N14" t="s">
        <v>168</v>
      </c>
      <c r="O14">
        <v>189</v>
      </c>
    </row>
    <row r="15" spans="1:15" x14ac:dyDescent="0.25">
      <c r="M15" t="s">
        <v>152</v>
      </c>
      <c r="N15" t="s">
        <v>170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2019-11-01T04:01:23Z</dcterms:modified>
</cp:coreProperties>
</file>